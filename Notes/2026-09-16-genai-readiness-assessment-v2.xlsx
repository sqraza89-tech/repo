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ompetitive Analysis" state="visible" r:id="rId5"/>
    <sheet sheetId="3" name="v1 Evaluation" state="visible" r:id="rId6"/>
    <sheet sheetId="4" name="Questions v2" state="visible" r:id="rId7"/>
    <sheet sheetId="5" name="Context Questions" state="visible" r:id="rId8"/>
    <sheet sheetId="6" name="Scoring Model" state="visible" r:id="rId9"/>
    <sheet sheetId="7" name="Result Profiles" state="visible" r:id="rId10"/>
    <sheet sheetId="8" name="Service Routing" state="visible" r:id="rId11"/>
    <sheet sheetId="9" name="Lead Capture &amp; Scoring" state="visible" r:id="rId12"/>
    <sheet sheetId="10" name="Launch &amp; Traffic" state="visible" r:id="rId13"/>
  </sheets>
  <calcPr calcId="171027" fullCalcOnLoad="1"/>
</workbook>
</file>

<file path=xl/sharedStrings.xml><?xml version="1.0" encoding="utf-8"?>
<sst xmlns="http://schemas.openxmlformats.org/spreadsheetml/2006/main" count="1391" uniqueCount="924">
  <si>
    <t>GenAI Readiness Assessment v2: Ready to Build, Safe to Scale</t>
  </si>
  <si>
    <t>Replaces Gen_AI_Readiness_Assessment_FINAL.xlsx (v1, 24 questions, 8 domains). Prepared 2026-09-16. Internal working file, not public copy.</t>
  </si>
  <si>
    <t>The recommendation in one paragraph</t>
  </si>
  <si>
    <t>v1 is well built but reads like every other AI readiness quiz: 8 generic maturity domains (almost the same 8 Augmentry uses), a 4-step maturity ladder, and one averaged score. v2 keeps what works in v1 (anchored answers, results before any form) and changes three things. (1) Two scores instead of one: “Ready to Build” and “Safe to Scale”. That matches xLoop’s mix of AI build work and AI security, which no competitor we reviewed scores separately. (2) Blockers, not just averages: one question per domain can flag a specific thing likely to stall the first use case, whatever the average says. (3) Anchored to a real use case, with context questions, so every result routes to a specific xLoop service page and the lead arrives already qualified.</t>
  </si>
  <si>
    <t>What is in each tab</t>
  </si>
  <si>
    <t>Competitive Analysis</t>
  </si>
  <si>
    <t>14 competitor and benchmark tools: format, length, gating, output and what to learn. Ends with the market patterns and the gaps v2 is designed to fill.</t>
  </si>
  <si>
    <t>v1 Evaluation</t>
  </si>
  <si>
    <t>16 findings on the current file, each with a severity and the change made in v2. Includes one maths bug: v1’s “Exploring” tier can only be reached if every answer is the weakest one.</t>
  </si>
  <si>
    <t>Questions v2</t>
  </si>
  <si>
    <t>The 18 scored questions, in the order people answer them. Each has 4 concrete, scenario-based answers scored 0–3 plus “Not sure”. The sheet also shows which questions are blockers, which 12 make up the short version, what each answer tells sales, and which v1 question it replaces.</t>
  </si>
  <si>
    <t>Context Questions</t>
  </si>
  <si>
    <t>4 unscored questions (use case, role, industry, timeline). One row per answer option, showing where it routes and which buyer type (ICP) it maps to.</t>
  </si>
  <si>
    <t>Scoring Model</t>
  </si>
  <si>
    <t>A working calculator. Type in example answers (blue cells) to see domain scores, both axis scores, the profile, the blocker count and the primary service page it routes to. The Full/Short version can be switched.</t>
  </si>
  <si>
    <t>Result Profiles</t>
  </si>
  <si>
    <t>The 4 result profiles: the rule for each, the results-page headline, the first move and the default next step (CTA). Also the “blocker overlay” rule.</t>
  </si>
  <si>
    <t>Service Routing</t>
  </si>
  <si>
    <t>Where each weak domain, use case and industry sends the respondent: service page, entry offer, offering maturity, approved proof IDs and items still to confirm. Also lists 3-question starter embeds for each service page.</t>
  </si>
  <si>
    <t>Lead Capture &amp; Scoring</t>
  </si>
  <si>
    <t>What is asked at each step, CRM fields, lead priority rules (A/B/C/Exclude), mapped to the existing qualification framework, and 6 nurture tracks.</t>
  </si>
  <si>
    <t>Launch &amp; Traffic</t>
  </si>
  <si>
    <t>Landing page copy, SEO/AEO, service-page embeds, sales use, measurement and calibration.</t>
  </si>
  <si>
    <t>Cell colour legend</t>
  </si>
  <si>
    <t>Blue text</t>
  </si>
  <si>
    <t>Input you can change (example answers, weights, thresholds).</t>
  </si>
  <si>
    <t>Black text</t>
  </si>
  <si>
    <t>Formula or fixed label. Do not overwrite formulas.</t>
  </si>
  <si>
    <t>Green text</t>
  </si>
  <si>
    <t>Formula that pulls from another tab.</t>
  </si>
  <si>
    <t>Yellow fill</t>
  </si>
  <si>
    <t>Needs a human decision or confirmation before launch.</t>
  </si>
  <si>
    <t>Decisions needed before launch</t>
  </si>
  <si>
    <t>1. Tool name</t>
  </si>
  <si>
    <t>Recommended: keep “AI Readiness Assessment” in the URL, title tag and existing CTA (that is the search phrase), and use “Ready to Build, Safe to Scale” as the on-page concept. Confirm.</t>
  </si>
  <si>
    <t>2. Entry offers and CTA wording</t>
  </si>
  <si>
    <t>Four CTAs in Service Routing (use-case prioritisation session, Data &amp; Infrastructure Review, technical scoping call, production readiness review) must be confirmed as real, deliverable offers by practice leads. The AI Security Assessment is already built.</t>
  </si>
  <si>
    <t>3. “Talk to an ISO 42001 Lead Auditor” CTA</t>
  </si>
  <si>
    <t>The claim is approved (A4, individual level). Confirm a Lead Auditor is available to take these calls.</t>
  </si>
  <si>
    <t>4. Legacy System Modernization link</t>
  </si>
  <si>
    <t>The page is not live yet. Hold that link until it ships. Route to Cloud &amp; Hyperscaling in the meantime.</t>
  </si>
  <si>
    <t>5. Publishing the tool (claim B4)</t>
  </si>
  <si>
    <t>“AI Readiness Assessment” may be promoted as an offer only once the tool is live. Do not repoint sitewide CTAs until then.</t>
  </si>
  <si>
    <t>6. Thresholds</t>
  </si>
  <si>
    <t>The 50% axis threshold and “score ≤1 = blocker” are starting assumptions, not validated. Review after the first 50 completed assessments.</t>
  </si>
  <si>
    <t>7. Lead priority rules</t>
  </si>
  <si>
    <t>Size bands and ICP floors come from icp_master.md. The intent points marked “Proposed” in Lead Capture &amp; Scoring need marketing and sales sign-off.</t>
  </si>
  <si>
    <t>Sources used</t>
  </si>
  <si>
    <t>Original file</t>
  </si>
  <si>
    <t>C:\Users\Sana Qazi\Downloads\Gen_AI_Readiness_Assessment_FINAL.xlsx</t>
  </si>
  <si>
    <t>xLoop Marketing Brain</t>
  </si>
  <si>
    <t>Projects/xloop-marketing-brain: offering_inventory, icp_by_service, buyer_personas, qualification_framework, approved_claims, prohibited_claims, brand_voice, messaging</t>
  </si>
  <si>
    <t>Live site</t>
  </si>
  <si>
    <t>xloopdigital.com navigation (service and industry URLs), checked 2026-09-16</t>
  </si>
  <si>
    <t>Competitor research</t>
  </si>
  <si>
    <t>Public web pages, 2026-09-16. See the Source URL column in Competitive Analysis. Not every tool was completed end to end; the Verification column says which were.</t>
  </si>
  <si>
    <t>Competitive analysis: AI readiness assessments in market (September 2026)</t>
  </si>
  <si>
    <t>Desk research on public pages. “Page read” = the tool or offer page itself was reviewed. “Listing only” = details come from a search listing or roundup and should be spot-checked.</t>
  </si>
  <si>
    <t>Vendor</t>
  </si>
  <si>
    <t>Type</t>
  </si>
  <si>
    <t>Format</t>
  </si>
  <si>
    <t>Length</t>
  </si>
  <si>
    <t>Dimensions / pillars</t>
  </si>
  <si>
    <t>Gating</t>
  </si>
  <si>
    <t>Output</t>
  </si>
  <si>
    <t>What xLoop should take from it</t>
  </si>
  <si>
    <t>Verification</t>
  </si>
  <si>
    <t>Source URL</t>
  </si>
  <si>
    <t>10Pearls</t>
  </si>
  <si>
    <t>Direct competitor (US / Pakistan delivery)</t>
  </si>
  <si>
    <t>Self-serve quiz + 4–6 week paid assessment</t>
  </si>
  <si>
    <t>20 questions</t>
  </si>
  <si>
    <t>Strategy &amp; Vision; Data Readiness; Technology Infrastructure; Talent &amp; Skill; Governance &amp; Ethics</t>
  </si>
  <si>
    <t>Gated before starting: name, email, company, phone, size, region, industry</t>
  </si>
  <si>
    <t>Scored across 5 domains; roadmap; CTA “Let’s connect”</t>
  </si>
  <si>
    <t>The heaviest gate in the set. Asking for 7 fields before any value is shown is the pattern to avoid. Their pillars are the generic five.</t>
  </si>
  <si>
    <t>Page read</t>
  </si>
  <si>
    <t>https://10pearls.com/ai-assessment/</t>
  </si>
  <si>
    <t>Microsoft: AI Readiness Wizard</t>
  </si>
  <si>
    <t>Platform vendor</t>
  </si>
  <si>
    <t>Self-serve wizard</t>
  </si>
  <si>
    <t>10 questions (2 per pillar), 5 maturity levels each</t>
  </si>
  <si>
    <t>Business Strategy; Technology &amp; Data Strategy; AI Strategy &amp; Experience; Organization &amp; Culture; AI Governance &amp; Security</t>
  </si>
  <si>
    <t>None</t>
  </si>
  <si>
    <t>Readiness score + links to Microsoft resources</t>
  </si>
  <si>
    <t>The free, ungated benchmark most buyers will have seen. It sets the bar at about 10 questions and no gate. A longer 45-question, 7-pillar version also exists on Microsoft Learn.</t>
  </si>
  <si>
    <t>https://adoption.microsoft.com/en-us/ai-readiness-wizard/</t>
  </si>
  <si>
    <t>Cisco AI Readiness Index</t>
  </si>
  <si>
    <t>Self-serve tool backed by global survey</t>
  </si>
  <si>
    <t>Index built on 49 metrics</t>
  </si>
  <si>
    <t>Strategy; Infrastructure; Data; Governance; Talent; Culture</t>
  </si>
  <si>
    <t>None (per listing)</t>
  </si>
  <si>
    <t>Score + peer groups: Pacesetters, Chasers, Followers, Laggards</t>
  </si>
  <si>
    <t>Its peer benchmarks rest on a large survey. xLoop has no benchmark data, so it should not show percentiles until it has collected real responses.</t>
  </si>
  <si>
    <t>Listing only</t>
  </si>
  <si>
    <t>https://www.cisco.com/c/m/en_us/solutions/ai/readiness-index/assessment-tool.html</t>
  </si>
  <si>
    <t>Augmentry</t>
  </si>
  <si>
    <t>AI consultancy</t>
  </si>
  <si>
    <t>Self-serve tool</t>
  </si>
  <si>
    <t>40 questions, ~10 min, 9 steps</t>
  </si>
  <si>
    <t>Data Maturity; Infrastructure Readiness; Talent &amp; Skills; Governance &amp; Ethics; Security &amp; Privacy; Business Alignment; Change Management; MLOps Capabilities</t>
  </si>
  <si>
    <t>Contact details at step 1 of 9</t>
  </si>
  <si>
    <t>1–5 level (e.g. “Level 3: Defined”), dimension scores, industry percentile; PDF with 90-day plan; discovery call</t>
  </si>
  <si>
    <t>CLOSEST MATCH TO xLOOP v1. Its 8 dimensions line up almost one-for-one with v1’s 8 domains. This is the main reason v1 would feel familiar.</t>
  </si>
  <si>
    <t>https://www.augmentry.ai/resources-ai-readiness-tool</t>
  </si>
  <si>
    <t>Kudo Advisory</t>
  </si>
  <si>
    <t>GCC boutique (UAE)</t>
  </si>
  <si>
    <t>Self-serve quiz</t>
  </si>
  <si>
    <t>10 questions, ~3 min</t>
  </si>
  <si>
    <t>Strategy; Governance; Operating model; Data; Talent; Delivery</t>
  </si>
  <si>
    <t>None: “No cost. No obligation. Your results are private.”</t>
  </si>
  <si>
    <t>Instant score + tailored report</t>
  </si>
  <si>
    <t>Aimed at CIOs/CDOs in the UAE, one of xLoop’s markets. The short, ungated, privacy-first style is already standard in the region.</t>
  </si>
  <si>
    <t>https://www.kudoadvisory.com/ai-readiness-assessment</t>
  </si>
  <si>
    <t>HEMOdata</t>
  </si>
  <si>
    <t>GCC data consultancy (UAE)</t>
  </si>
  <si>
    <t>Self-serve diagnostic + 20-min consult</t>
  </si>
  <si>
    <t>50 questions, 10 dimensions, ~15 min</t>
  </si>
  <si>
    <t>10 dimensions, calibrated to GCC regulation (NDMO, PDPL, UAE AI frameworks)</t>
  </si>
  <si>
    <t>Not confirmed</t>
  </si>
  <si>
    <t>Score, dimension breakdown, prioritised gap list</t>
  </si>
  <si>
    <t>Covering local regulation is a real selling point in the GCC. v2 names regional data-protection laws in S2.2. HEMOdata goes deeper on regulation; xLoop’s angle is security.</t>
  </si>
  <si>
    <t>Page read (article)</t>
  </si>
  <si>
    <t>https://www.hemodata.me/the-uae-ai-readiness-question-are-organisations-ready-to-scale/</t>
  </si>
  <si>
    <t>The Orange Club</t>
  </si>
  <si>
    <t>35 questions, ~15 min</t>
  </si>
  <si>
    <t>5 dimensions</t>
  </si>
  <si>
    <t>Instant scoring</t>
  </si>
  <si>
    <t>Another UAE entrant. The Dubai search results for this term are crowded.</t>
  </si>
  <si>
    <t>https://theorangeclub.me/ai-readiness-self-assessment-dubai-uae</t>
  </si>
  <si>
    <t>Folio3</t>
  </si>
  <si>
    <t>Direct competitor (Pakistan / US)</t>
  </si>
  <si>
    <t>Consulting engagement, no self-serve quiz</t>
  </si>
  <si>
    <t>2–3 weeks (4–6 for enterprise)</t>
  </si>
  <si>
    <t>“AIR Framework”: Data; Technology; Talent; Governance; Strategy</t>
  </si>
  <si>
    <t>Discovery call</t>
  </si>
  <si>
    <t>Scorecard, executive summary, gap analysis, use-case map, roadmap, debrief</t>
  </si>
  <si>
    <t>Pakistan peers sell the assessment as a service, not a tool. A self-serve scored tool is open ground among Pakistani firms.</t>
  </si>
  <si>
    <t>https://www.folio3.ai/ai-enablement/ai-readiness-assessment</t>
  </si>
  <si>
    <t>tkxel</t>
  </si>
  <si>
    <t>One collaborative session</t>
  </si>
  <si>
    <t>One session</t>
  </si>
  <si>
    <t>Business goals, workflows, data quality, integrations, capabilities, security, constraints</t>
  </si>
  <si>
    <t>Consultation</t>
  </si>
  <si>
    <t>Readiness report, use-case map, prioritised roadmap; 90-day roadmap</t>
  </si>
  <si>
    <t>Leads with use cases and a 90-day plan. v2’s report should give a 90-day first move for the chosen use case, so it holds up against this.</t>
  </si>
  <si>
    <t>https://tkxel.com/services/ai-consulting/</t>
  </si>
  <si>
    <t>Avanade</t>
  </si>
  <si>
    <t>Global SI (UAE page)</t>
  </si>
  <si>
    <t>Not shown before starting</t>
  </si>
  <si>
    <t>People, processes, platforms</t>
  </si>
  <si>
    <t>Not inspected</t>
  </si>
  <si>
    <t>Prioritised steps</t>
  </si>
  <si>
    <t>A Microsoft-aligned SI with a regional page. Shows that global SIs are targeting UAE buyers with this format.</t>
  </si>
  <si>
    <t>Page read (landing only)</t>
  </si>
  <si>
    <t>https://www.avanade.com/en-ae/services/artificial-intelligence/ai-readiness-hub/ai-readiness-assessment</t>
  </si>
  <si>
    <t>Gartner AI Maturity Model</t>
  </si>
  <si>
    <t>Analyst</t>
  </si>
  <si>
    <t>Paywalled toolkit</t>
  </si>
  <si>
    <t>5 maturity levels</t>
  </si>
  <si>
    <t>Strategy, data, governance, engineering, operating model, culture, value</t>
  </si>
  <si>
    <t>Paywall</t>
  </si>
  <si>
    <t>Maturity level + roadmap</t>
  </si>
  <si>
    <t>The source of the “maturity ladder” idea most tools copy, v1’s Exploring→Optimizing included. Another ladder adds nothing new.</t>
  </si>
  <si>
    <t>https://www.gartner.com/en/chief-information-officer/research/ai-maturity-model-toolkit</t>
  </si>
  <si>
    <t>Accenture: Art of AI Maturity</t>
  </si>
  <si>
    <t>Global consultancy research</t>
  </si>
  <si>
    <t>Research report</t>
  </si>
  <si>
    <t>n/a</t>
  </si>
  <si>
    <t>2×2: foundational capability vs differentiating capability → Achievers, Builders, Innovators, Experimenters</t>
  </si>
  <si>
    <t>Segmentation, not a lead tool</t>
  </si>
  <si>
    <t>A 2×2 already exists in research, so xLoop’s 2×2 must use different axes. Build vs Safe does, and it is a lead tool, not a report.</t>
  </si>
  <si>
    <t>https://www.accenture.com/gb-en/insights/artificial-intelligence/ai-maturity-and-transformation</t>
  </si>
  <si>
    <t>ClarityArc</t>
  </si>
  <si>
    <t>Small consultancy</t>
  </si>
  <si>
    <t>Self-serve, runs in browser</t>
  </si>
  <si>
    <t>12 questions, ~3 min</t>
  </si>
  <si>
    <t>Scores a single use case: value, data, people, governance</t>
  </si>
  <si>
    <t>Use-case score</t>
  </si>
  <si>
    <t>The only tool found that scores a use case rather than the whole company. The idea works, but it is small and has no routing. The page returned 404 on 2026-09-16.</t>
  </si>
  <si>
    <t>Listing only (404 when opened)</t>
  </si>
  <si>
    <t>https://clarityarc.com/tools/ai-readiness-check/</t>
  </si>
  <si>
    <t>TDWI / ProofID (agentic)</t>
  </si>
  <si>
    <t>Analyst / identity vendor</t>
  </si>
  <si>
    <t>Agentic AI readiness checks</t>
  </si>
  <si>
    <t>ProofID: under 10 min</t>
  </si>
  <si>
    <t>Agent control, identity, data foundation</t>
  </si>
  <si>
    <t>Varies</t>
  </si>
  <si>
    <t>Readiness benchmark</t>
  </si>
  <si>
    <t>Agentic readiness is splitting off as its own category. v2 covers agents as a use case and routes to the AI Agents page, without a separate quiz.</t>
  </si>
  <si>
    <t>https://proofid.com/agentic-ai-assessment</t>
  </si>
  <si>
    <t>Market patterns: what “feels the same” means in practice</t>
  </si>
  <si>
    <t>#</t>
  </si>
  <si>
    <t>Pattern in market</t>
  </si>
  <si>
    <t/>
  </si>
  <si>
    <t>Evidence</t>
  </si>
  <si>
    <t>What v2 does instead</t>
  </si>
  <si>
    <t>1</t>
  </si>
  <si>
    <t>Everyone scores company-wide maturity across 5–8 generic pillars (strategy, data, infrastructure, talent, governance, culture)</t>
  </si>
  <si>
    <t>Microsoft, Cisco, 10Pearls, Folio3, Augmentry, Kudo</t>
  </si>
  <si>
    <t>Two named axes, Ready to Build and Safe to Scale, anchored to the respondent’s priority use case</t>
  </si>
  <si>
    <t>2</t>
  </si>
  <si>
    <t>Results are a maturity ladder (Level 1–5, Laggard→Pacesetter, Exploring→Optimizing)</t>
  </si>
  <si>
    <t>Gartner, Cisco, Augmentry, xLoop v1</t>
  </si>
  <si>
    <t>4 profiles based on where build and safety stand relative to each other (e.g. “Moving Faster Than Guardrails”), plus named blockers</t>
  </si>
  <si>
    <t>3</t>
  </si>
  <si>
    <t>Questions ask for abstract self-ratings (“how mature is…”), which inflate scores</t>
  </si>
  <si>
    <t>Most tools; about 14 of v1’s 24 questions use the same none/informal/documented/consistent ladder</t>
  </si>
  <si>
    <t>Concrete scenarios with observable answers (“If an employee pasted a client contract into a public chatbot tomorrow, what would happen?”)</t>
  </si>
  <si>
    <t>4</t>
  </si>
  <si>
    <t>Security is one line under governance, or one dimension inside a single score</t>
  </si>
  <si>
    <t>Microsoft (combined with governance), Augmentry (1 of 8)</t>
  </si>
  <si>
    <t>Security and safe operation make up half the result. This plays to xLoop’s strongest proof: ISO 27001/42001 Lead Auditors and an AI Security Assessment that is already built</t>
  </si>
  <si>
    <t>5</t>
  </si>
  <si>
    <t>One averaged score hides the single gap that actually stops a project</t>
  </si>
  <si>
    <t>All tools reviewed</t>
  </si>
  <si>
    <t>Blocker logic: one question per domain can flag a stall risk whatever the average</t>
  </si>
  <si>
    <t>6</t>
  </si>
  <si>
    <t>Output is a score and a generic roadmap, and next steps point to “contact us”</t>
  </si>
  <si>
    <t>10Pearls, Augmentry, Microsoft</t>
  </si>
  <si>
    <t>The weakest domain and the chosen use case each route to a specific xLoop service page, CTA and approved proof point</t>
  </si>
  <si>
    <t>7</t>
  </si>
  <si>
    <t>Ungated results are now normal among the better tools</t>
  </si>
  <si>
    <t>Microsoft, Cisco, Kudo, ClarityArc (ungated) vs 10Pearls, Augmentry (gated)</t>
  </si>
  <si>
    <t>Keep v1’s “results before form” rule, but treat it as table stakes rather than the differentiator</t>
  </si>
  <si>
    <t>8</t>
  </si>
  <si>
    <t>Benchmarks and percentiles are shown without a stated sample</t>
  </si>
  <si>
    <t>Augmentry (“65th percentile for your industry”)</t>
  </si>
  <si>
    <t>No benchmarks at launch. Publish a real aggregate once enough responses exist. This follows xLoop’s rule against unsourced statistics</t>
  </si>
  <si>
    <t>9</t>
  </si>
  <si>
    <t>Pakistani competitors offer the assessment only as a paid consulting service</t>
  </si>
  <si>
    <t>Folio3, tkxel</t>
  </si>
  <si>
    <t>A free self-serve tool feeds the paid review: the results walkthrough leads into a scoped engagement</t>
  </si>
  <si>
    <t>Evaluation of v1 (Gen_AI_Readiness_Assessment_FINAL.xlsx)</t>
  </si>
  <si>
    <t>Severity: High = would undermine lead capture or give wrong results. Medium = weakens quality or experience. Low = polish.</t>
  </si>
  <si>
    <t>Area</t>
  </si>
  <si>
    <t>Finding</t>
  </si>
  <si>
    <t>Why it matters</t>
  </si>
  <si>
    <t>Severity</t>
  </si>
  <si>
    <t>Change in v2</t>
  </si>
  <si>
    <t>Scoring maths</t>
  </si>
  <si>
    <t>Every answer scores at least 1, so the lowest possible total is 24/96 = 25%. The “Exploring 0–25%” tier is only reachable if all 24 answers are the weakest. The bands also leave gaps: a total of 25/96 = 26.04% falls between “0–25%” and “26–50%”.</t>
  </si>
  <si>
    <t>Early-stage companies, the best fit for AI consulting, would almost never see the Exploring message or next step.</t>
  </si>
  <si>
    <t>High</t>
  </si>
  <si>
    <t>Answers scored 0–3, so percentages run a true 0–100. Profiles use ≥ thresholds with no gaps.</t>
  </si>
  <si>
    <t>Differentiation</t>
  </si>
  <si>
    <t>The 8 domains line up almost one-for-one with Augmentry’s 8 dimensions. Five of them are the generic pillars Microsoft, Cisco, 10Pearls and Folio3 all use. The Exploring→Building→Scaling→Optimizing ladder follows the usual maturity-model pattern.</t>
  </si>
  <si>
    <t>Fails the brand’s substitution test: swap in another company’s logo and nothing changes.</t>
  </si>
  <si>
    <t>Two axes (Build / Safe), 4 profiles, blocker logic, use-case anchor.</t>
  </si>
  <si>
    <t>GenAI fit</t>
  </si>
  <si>
    <t>The title says Gen AI, but several questions are about classic ML: 6–12 months of historical data (DR Q3), bias testing (R Q1), compute for training (T&amp;I Q1), MLOps drift (O&amp;S Q2). Nothing covers employees using public chatbots, document/knowledge readiness, checking output quality before release, or agents.</t>
  </si>
  <si>
    <t>GenAI buyers will see generic AI questions. Shadow AI, the concern most likely to bring in a security buyer, is missing.</t>
  </si>
  <si>
    <t>New questions on shadow AI (S1.1, S1.2), unstructured content (B2.3), trust in source material (B2.2) and output checking (S3.1). Agents added as a use case.</t>
  </si>
  <si>
    <t>Lead capture</t>
  </si>
  <si>
    <t>No context questions: no use case, role, industry, size or timeline. The only data captured is an email at the report step.</t>
  </si>
  <si>
    <t>Leads can’t be routed to a service page or scored against the qualification framework, and sales starts cold.</t>
  </si>
  <si>
    <t>3 context questions at the start, timeline at the end, size and country on the unlock form. All map to ICPs and routing.</t>
  </si>
  <si>
    <t>Routing to services</t>
  </si>
  <si>
    <t>Tier next steps name things that are not live pages or confirmed offers: “Applied AI Solutions”, “Digital Transformation engagement” (hub still being built), “ongoing advisory retainer”. No domain is linked to a page.</t>
  </si>
  <si>
    <t>The stated goal, getting service pages relevant leads, has no mechanism.</t>
  </si>
  <si>
    <t>Service Routing tab: each domain and use case → live URL, entry offer, maturity check, approved proof.</t>
  </si>
  <si>
    <t>Averages hide blockers</t>
  </si>
  <si>
    <t>A company can score 70% (“Scaling”) with no control over sensitive data going to public AI tools (S&amp;P Q1 = 1).</t>
  </si>
  <si>
    <t>The result sounds reassuring where it should flag risk, and it misses the most natural AI Security lead.</t>
  </si>
  <si>
    <t>One blocker question per domain. Any blocker overrides the default CTA.</t>
  </si>
  <si>
    <t>Question design</t>
  </si>
  <si>
    <t>About 14 of 24 questions reuse the same answer ladder (none / informal / documented but inconsistent / documented and consistent).</t>
  </si>
  <si>
    <t>People learn the pattern and pick option 3. It reads like a compliance audit and scores come out inflated.</t>
  </si>
  <si>
    <t>Medium</t>
  </si>
  <si>
    <t>Every question has its own concrete, observable answers written for that scenario.</t>
  </si>
  <si>
    <t>Double-barrelled questions</t>
  </si>
  <si>
    <t>Several questions ask two things at once, e.g. L&amp;G Q3 “cross-functional team … or does it sit in one silo”, S&amp;U Q3 “measure ROI … and use that to inform”, P&amp;C Q3 “executive and middle-management buy-in”.</t>
  </si>
  <si>
    <t>One answer can’t be accurate for both parts, so the data is noisy.</t>
  </si>
  <si>
    <t>One idea per question.</t>
  </si>
  <si>
    <t>24 scored questions (~8–10 min) with nothing shown along the way. Microsoft and Kudo run at 10 questions / ~3 min.</t>
  </si>
  <si>
    <t>Top-of-funnel drop-off. People landing from a service page have the least patience.</t>
  </si>
  <si>
    <t>18 scored + 4 context (~6 min). A 12-question core version is flagged for A/B testing, and service pages get 3-question starters.</t>
  </si>
  <si>
    <t>No “Not sure” option</t>
  </si>
  <si>
    <t>People must guess.</t>
  </si>
  <si>
    <t>Guesses skew optimistic. “Not sure” is also a useful signal, especially for security questions.</t>
  </si>
  <si>
    <t>“Not sure” on every scored question: scores 0 and is counted as a visibility gap in the results.</t>
  </si>
  <si>
    <t>Regulatory coverage</t>
  </si>
  <si>
    <t>R Q2 names only the EU AI Act and NIST AI RMF. Nothing for xLoop’s priority markets (Pakistan, UAE, Qatar, KSA), and no ISO/IEC 42001, which is xLoop’s own approved credential (claim A4).</t>
  </si>
  <si>
    <t>Misses local relevance and the easiest credential link.</t>
  </si>
  <si>
    <t>S2.2 helper text names regional data-protection laws, sector regulators and ISO/IEC 42001, which leads to the Lead Auditor CTA.</t>
  </si>
  <si>
    <t>Differentiator claim</t>
  </si>
  <si>
    <t>The scoring sheet calls ungated results “the single biggest differentiator vs 10Pearls”. True against 10Pearls and Augmentry, but Microsoft, Cisco and Kudo are already ungated.</t>
  </si>
  <si>
    <t>Leaning on it overstates how different the tool is.</t>
  </si>
  <si>
    <t>Low</t>
  </si>
  <si>
    <t>Rule kept; now described as table stakes.</t>
  </si>
  <si>
    <t>Dropped domains</t>
  </si>
  <si>
    <t>Change management (P&amp;C Q2), buy-in (P&amp;C Q3), compute capacity (T&amp;I Q1) and role-based access (S&amp;P Q3) have no direct v2 question.</t>
  </si>
  <si>
    <t>A trade-off made on purpose to keep the tool short and GenAI-specific.</t>
  </si>
  <si>
    <t>Sponsorship moved into B1.2 and skills into B3.2. Change management and access control are covered in the report narrative and the paid review.</t>
  </si>
  <si>
    <t>Scoring sheet</t>
  </si>
  <si>
    <t>Weights, formulas and the legend are sound. The label “24-question version” and the example scores are fine.</t>
  </si>
  <si>
    <t>—</t>
  </si>
  <si>
    <t>Pattern kept: editable weights (blue) and formulas (black), plus a working calculator with Full/Short switch.</t>
  </si>
  <si>
    <t>Keep: anchored answers</t>
  </si>
  <si>
    <t>Answer options describe observable states rather than a 1–5 self-rating. This is the strongest part of v1.</t>
  </si>
  <si>
    <t>Strength</t>
  </si>
  <si>
    <t>Kept, and made more concrete.</t>
  </si>
  <si>
    <t>Keep: results before form</t>
  </si>
  <si>
    <t>Tier and domain breakdown shown before any contact details are asked for.</t>
  </si>
  <si>
    <t>Kept. The unlock form comes after results and asks only 5 fields.</t>
  </si>
  <si>
    <t>Scored questions v2: 18 questions, 6 domains, 2 axes</t>
  </si>
  <si>
    <t>Flow: 3 context questions (Context Questions tab) → these 18 in order → timeline question → instant results. Every question also offers “Not sure” (scores 0, counted as a visibility gap). Short version = the 12 questions with Core = Y.</t>
  </si>
  <si>
    <t>Q ID</t>
  </si>
  <si>
    <t>Axis</t>
  </si>
  <si>
    <t>Domain</t>
  </si>
  <si>
    <t>Blocker?</t>
  </si>
  <si>
    <t>Core (short)?</t>
  </si>
  <si>
    <t>Question</t>
  </si>
  <si>
    <t>Helper text (shown under question)</t>
  </si>
  <si>
    <t>Answer scoring 0</t>
  </si>
  <si>
    <t>Answer scoring 1</t>
  </si>
  <si>
    <t>Answer scoring 2</t>
  </si>
  <si>
    <t>Answer scoring 3</t>
  </si>
  <si>
    <t>“Not sure”</t>
  </si>
  <si>
    <t>What the answer tells sales</t>
  </si>
  <si>
    <t>Replaces v1</t>
  </si>
  <si>
    <t>B1.1</t>
  </si>
  <si>
    <t>Build</t>
  </si>
  <si>
    <t>Use Case &amp; Value</t>
  </si>
  <si>
    <t>N</t>
  </si>
  <si>
    <t>Y</t>
  </si>
  <si>
    <t>How clearly is your priority GenAI use case defined?</t>
  </si>
  <si>
    <t>Think of the one use case you picked at the start.</t>
  </si>
  <si>
    <t>We want to use GenAI but haven’t picked a use case</t>
  </si>
  <si>
    <t>We have a shortlist, but no single priority</t>
  </si>
  <si>
    <t>One use case is chosen, but its success measure isn’t agreed</t>
  </si>
  <si>
    <t>One use case is chosen, with an agreed success measure (e.g. hours saved, response time, cost per case)</t>
  </si>
  <si>
    <t>Scores 0; counted as visibility gap</t>
  </si>
  <si>
    <t>0–1 = a use-case prioritisation conversation, not a build</t>
  </si>
  <si>
    <t>S&amp;U Q1</t>
  </si>
  <si>
    <t>B1.2</t>
  </si>
  <si>
    <t>If the pilot works, who pays for the production rollout?</t>
  </si>
  <si>
    <t>This is where many pilots stall.</t>
  </si>
  <si>
    <t>No one has been asked yet</t>
  </si>
  <si>
    <t>It would need a new budget request, with no named owner</t>
  </si>
  <si>
    <t>A named executive owns it, but budget isn’t set aside</t>
  </si>
  <si>
    <t>A named executive owns it and budget is set aside for production, not just the pilot</t>
  </si>
  <si>
    <t>A 3 means there is a sponsor with money; a 0–1 means sales must find the sponsor first</t>
  </si>
  <si>
    <t>L&amp;G Q1</t>
  </si>
  <si>
    <t>B1.3</t>
  </si>
  <si>
    <t>What will you compare the AI result against to decide it worked?</t>
  </si>
  <si>
    <t>Nothing defined, so we’d judge it informally</t>
  </si>
  <si>
    <t>A rough sense of today’s performance, not written down</t>
  </si>
  <si>
    <t>Today’s baseline is measured for part of the process</t>
  </si>
  <si>
    <t>Today’s baseline is measured, and we know the number that would justify scaling</t>
  </si>
  <si>
    <t>Low = no business case yet; offer to build one in discovery</t>
  </si>
  <si>
    <t>S&amp;U Q2 + Q3</t>
  </si>
  <si>
    <t>B2.1</t>
  </si>
  <si>
    <t>Data &amp; Knowledge</t>
  </si>
  <si>
    <t>Where does the information your use case needs live today?</t>
  </si>
  <si>
    <t>Mostly in people’s heads, email or paper</t>
  </si>
  <si>
    <t>Spread across shared drives and systems, with no clear owner</t>
  </si>
  <si>
    <t>In known systems, but getting it out takes manual work</t>
  </si>
  <si>
    <t>In known systems we can reach through APIs, exports or a data platform</t>
  </si>
  <si>
    <t>0–1 = the data foundation comes first → Data &amp; Infrastructure Review</t>
  </si>
  <si>
    <t>DR Q1</t>
  </si>
  <si>
    <t>B2.2</t>
  </si>
  <si>
    <t>If an AI answered from your documents and data today, how far would you trust the source material?</t>
  </si>
  <si>
    <t>Not much; we know parts are outdated or contradictory</t>
  </si>
  <si>
    <t>Some is reliable, but nobody could say which parts</t>
  </si>
  <si>
    <t>Key sources are reliable and someone keeps them current</t>
  </si>
  <si>
    <t>Sources are owned and current, and any answer could be traced back to them</t>
  </si>
  <si>
    <t>Low trust in sources = answers people won’t trust (the Head of Data’s core worry)</t>
  </si>
  <si>
    <t>DR Q2</t>
  </si>
  <si>
    <t>B2.3</t>
  </si>
  <si>
    <t>What shape are the documents and records your use case relies on?</t>
  </si>
  <si>
    <t>GenAI works best on content it can search and read.</t>
  </si>
  <si>
    <t>Mostly scanned PDFs, images or paper</t>
  </si>
  <si>
    <t>A mix of formats, only some of them searchable</t>
  </si>
  <si>
    <t>Mostly digital and searchable, but inconsistently labelled</t>
  </si>
  <si>
    <t>Digital, searchable, and consistently labelled (dates, owners, document types)</t>
  </si>
  <si>
    <t>Low = document processing and extraction work before a knowledge assistant</t>
  </si>
  <si>
    <t>DR Q3 (replaced: historical data is a classic-ML question)</t>
  </si>
  <si>
    <t>B3.1</t>
  </si>
  <si>
    <t>Platform &amp; Delivery</t>
  </si>
  <si>
    <t>How would the AI connect to the systems where the work actually happens (CRM, ERP, core banking, ticketing)?</t>
  </si>
  <si>
    <t>It wouldn’t; people would copy and paste between them</t>
  </si>
  <si>
    <t>Our core systems are hard to connect to (older platforms, no APIs)</t>
  </si>
  <si>
    <t>Some systems have APIs, but every integration is a one-off project</t>
  </si>
  <si>
    <t>Core systems have APIs and we have a standard way to connect new tools</t>
  </si>
  <si>
    <t>1 = legacy modernisation signal; 2 = integration / cloud work</t>
  </si>
  <si>
    <t>T&amp;I Q2</t>
  </si>
  <si>
    <t>B3.2</t>
  </si>
  <si>
    <t>Who would build and look after it?</t>
  </si>
  <si>
    <t>No one identified, in-house or through a partner</t>
  </si>
  <si>
    <t>A few enthusiasts, alongside their day jobs</t>
  </si>
  <si>
    <t>A dedicated team, but missing key skills (e.g. LLM or data engineering)</t>
  </si>
  <si>
    <t>A dedicated team with the skills needed, in-house or through a partner</t>
  </si>
  <si>
    <t>1–2 = specialist engineering capacity conversation (xTalent)</t>
  </si>
  <si>
    <t>P&amp;C Q1</t>
  </si>
  <si>
    <t>B3.3</t>
  </si>
  <si>
    <t>What happened to your most recent AI or automation pilot?</t>
  </si>
  <si>
    <t>We haven’t run one yet</t>
  </si>
  <si>
    <t>It stayed a demo or proof of concept</t>
  </si>
  <si>
    <t>It went live for one team but hasn’t expanded</t>
  </si>
  <si>
    <t>It went live and has since been expanded or repeated elsewhere</t>
  </si>
  <si>
    <t>1 = “pilot purgatory”, the strongest sign a sponsor is frustrated</t>
  </si>
  <si>
    <t>O&amp;S Q1 + Q3</t>
  </si>
  <si>
    <t>S1.1</t>
  </si>
  <si>
    <t>Safe</t>
  </si>
  <si>
    <t>Shadow AI &amp; Data Protection</t>
  </si>
  <si>
    <t>If an employee pasted a client contract into a free public AI chatbot tomorrow, what would happen?</t>
  </si>
  <si>
    <t>Nothing would stop it, and we wouldn’t know</t>
  </si>
  <si>
    <t>It’s against policy, but nothing technical stops it</t>
  </si>
  <si>
    <t>It’s blocked on company devices, but we can’t see what happens elsewhere</t>
  </si>
  <si>
    <t>It’s blocked or logged, and staff have an approved AI tool to use instead</t>
  </si>
  <si>
    <t>0–1 = AI Security Assessment lead, the natural opener for the security buyer</t>
  </si>
  <si>
    <t>S&amp;P Q1</t>
  </si>
  <si>
    <t>S1.2</t>
  </si>
  <si>
    <t>Do you know which AI tools your teams are using today?</t>
  </si>
  <si>
    <t>Include browser extensions and AI features inside tools you already pay for.</t>
  </si>
  <si>
    <t>No</t>
  </si>
  <si>
    <t>Only the ones IT has bought</t>
  </si>
  <si>
    <t>We have reviewed or surveyed usage at least once</t>
  </si>
  <si>
    <t>We track usage continuously and keep an approved-tools list</t>
  </si>
  <si>
    <t>“Not sure” here is itself the finding: no visibility</t>
  </si>
  <si>
    <t>New (shadow AI)</t>
  </si>
  <si>
    <t>S1.3</t>
  </si>
  <si>
    <t>Have your AI systems or AI vendors been tested for AI-specific attacks such as prompt injection or data leakage?</t>
  </si>
  <si>
    <t>Our normal penetration test covers the applications, not the AI</t>
  </si>
  <si>
    <t>We have reviewed our AI vendors’ security documentation</t>
  </si>
  <si>
    <t>We have run AI-specific testing (e.g. prompt injection, jailbreaks, data leakage) on our own AI systems</t>
  </si>
  <si>
    <t>0–2 with AI in production = AI red teaming conversation</t>
  </si>
  <si>
    <t>S&amp;P Q2</t>
  </si>
  <si>
    <t>S2.1</t>
  </si>
  <si>
    <t>Governance &amp; Compliance</t>
  </si>
  <si>
    <t>Who can approve a new AI use case going live?</t>
  </si>
  <si>
    <t>Anyone who can buy or build it</t>
  </si>
  <si>
    <t>IT or security, informally, if they hear about it</t>
  </si>
  <si>
    <t>There is a defined approval step, but it isn’t always used</t>
  </si>
  <si>
    <t>A defined approval step with business, security and legal/compliance input, used every time</t>
  </si>
  <si>
    <t>0–1 = governance workshop, routed through the AI Security Assessment scope (see M3 rule)</t>
  </si>
  <si>
    <t>L&amp;G Q3</t>
  </si>
  <si>
    <t>S2.2</t>
  </si>
  <si>
    <t>Which rules apply to how you use AI, and are they mapped?</t>
  </si>
  <si>
    <t>For example data-protection laws (UAE or Saudi PDPL, GDPR), your sector regulator, the EU AI Act, or ISO/IEC 42001.</t>
  </si>
  <si>
    <t>We haven’t looked into it</t>
  </si>
  <si>
    <t>We know data-protection law applies, but haven’t mapped it to AI</t>
  </si>
  <si>
    <t>We have mapped the main obligations for our AI use</t>
  </si>
  <si>
    <t>Mapped, owned, and aligned to a recognised framework such as ISO/IEC 42001 or NIST AI RMF</t>
  </si>
  <si>
    <t>Regulated sectors scoring 0–1 → “Talk to an ISO 42001 Lead Auditor”</t>
  </si>
  <si>
    <t>R Q2</t>
  </si>
  <si>
    <t>S2.3</t>
  </si>
  <si>
    <t>Is there a written AI use policy that staff actually know about?</t>
  </si>
  <si>
    <t>No policy</t>
  </si>
  <si>
    <t>Drafted, but not published</t>
  </si>
  <si>
    <t>Published, but most staff couldn’t say what it says</t>
  </si>
  <si>
    <t>Published, covered in training, and reviewed at least yearly</t>
  </si>
  <si>
    <t>Low = quick-win governance deliverable</t>
  </si>
  <si>
    <t>L&amp;G Q2</t>
  </si>
  <si>
    <t>S3.1</t>
  </si>
  <si>
    <t>Operate &amp; Monitor</t>
  </si>
  <si>
    <t>Before an AI answer reaches a customer or feeds a decision, how is its quality checked?</t>
  </si>
  <si>
    <t>It isn’t; we would rely on the output</t>
  </si>
  <si>
    <t>Someone spot-checks when they have time</t>
  </si>
  <si>
    <t>A person reviews high-risk outputs by design</t>
  </si>
  <si>
    <t>Outputs are tested against a set of known correct answers before release, and a person reviews high-risk cases</t>
  </si>
  <si>
    <t>Low with a customer-facing use case = high-priority production readiness conversation</t>
  </si>
  <si>
    <t>R Q1 (replaced bias testing with output quality)</t>
  </si>
  <si>
    <t>S3.2</t>
  </si>
  <si>
    <t>If your AI gave a wrong or harmful answer in production, what would happen next?</t>
  </si>
  <si>
    <t>We would find out when someone complained</t>
  </si>
  <si>
    <t>It would be fixed ad hoc, with no set owner</t>
  </si>
  <si>
    <t>There is an owner and an escalation path, but it has never been tested</t>
  </si>
  <si>
    <t>There is an owner, an escalation path, and a way to switch the AI off or roll back quickly</t>
  </si>
  <si>
    <t>0–1 = AI monitoring / AI SOC conversation</t>
  </si>
  <si>
    <t>R Q3</t>
  </si>
  <si>
    <t>S3.3</t>
  </si>
  <si>
    <t>After launch, how would you notice the AI getting worse, costing more, or being misused?</t>
  </si>
  <si>
    <t>We wouldn’t, until someone complained</t>
  </si>
  <si>
    <t>Occasional manual checks</t>
  </si>
  <si>
    <t>Dashboards for usage and cost, but not for answer quality</t>
  </si>
  <si>
    <t>Automated monitoring of quality, cost and misuse, with alerts</t>
  </si>
  <si>
    <t>Low = LLMOps / monitoring scope</t>
  </si>
  <si>
    <t>O&amp;S Q2 + T&amp;I Q3</t>
  </si>
  <si>
    <t>Domain definitions (as shown on the results page)</t>
  </si>
  <si>
    <t>A defined use case, a sponsor who will fund production, and a way to prove it worked.</t>
  </si>
  <si>
    <t>The information the use case needs can be reached, trusted and read by an AI.</t>
  </si>
  <si>
    <t>The AI can connect to the systems where work happens, and someone can build and maintain it.</t>
  </si>
  <si>
    <t>Sensitive data can’t leak through AI tools, and you can see which tools are in use.</t>
  </si>
  <si>
    <t>Someone decides what goes live, and the rules that apply are known.</t>
  </si>
  <si>
    <t>Answers are checked before they matter, and problems are caught and fixed after launch.</t>
  </si>
  <si>
    <t>Context questions: not scored, used for personalisation, routing and lead qualification</t>
  </si>
  <si>
    <t>X1–X3 are asked before the scored questions (framed as “so we can tailor your results”). T1 is asked right after S3.3, before results. Company size and country are asked on the unlock form (Lead Capture &amp; Scoring).</t>
  </si>
  <si>
    <t>When asked</t>
  </si>
  <si>
    <t>Answer option</t>
  </si>
  <si>
    <t>Routes to (service page)</t>
  </si>
  <si>
    <t>Maps to ICP / buyer</t>
  </si>
  <si>
    <t>Effect on results &amp; lead handling</t>
  </si>
  <si>
    <t>X1</t>
  </si>
  <si>
    <t>Start (Q1)</t>
  </si>
  <si>
    <t>What would you most like GenAI to do first?</t>
  </si>
  <si>
    <t>Answer questions from our internal documents and knowledge</t>
  </si>
  <si>
    <t>xloopdigital.com/services/large-language-models · xloopdigital.com/xlab/chat-genie</t>
  </si>
  <si>
    <t>ICP 1 Sponsor / ICP 5 Builder</t>
  </si>
  <si>
    <t>Report uses “knowledge assistant” wording. Proof: A13 (RAG video search, healthcare).</t>
  </si>
  <si>
    <t>Handle customer questions and requests</t>
  </si>
  <si>
    <t>xloopdigital.com/services/generative-ai · xloopdigital.com/xlab/chat-genie</t>
  </si>
  <si>
    <t>LoB owner (CX)</t>
  </si>
  <si>
    <t>Raises the importance of S3.1 and S3.2 in the report (customer-facing). No approved outcome figure; lead with method.</t>
  </si>
  <si>
    <t>Read and pull information out of documents (contracts, invoices, reports)</t>
  </si>
  <si>
    <t>xloopdigital.com/services/generative-ai</t>
  </si>
  <si>
    <t>ICP 1 Sponsor / LoB owner</t>
  </si>
  <si>
    <t>Proof: A12 (LLM assistant reading 40+ page fund reports).</t>
  </si>
  <si>
    <t>Complete multi-step tasks across our systems (AI agents)</t>
  </si>
  <si>
    <t>xloopdigital.com/services/ai-agents-and-autonomous-systems</t>
  </si>
  <si>
    <t>Raises the importance of B3.1 and S2.1. Proof: A18 (11-stage multi-agent reference architecture).</t>
  </si>
  <si>
    <t>Forecast and support decisions from our business data</t>
  </si>
  <si>
    <t>xloopdigital.com/services/predictive-analytics · xloopdigital.com/services/data-analytics</t>
  </si>
  <si>
    <t>ICP 2 Data owner</t>
  </si>
  <si>
    <t>Raises the importance of B2.1 and B2.2. Proof: A9 (Snowflake medallion lakehouse on AWS, real-time Power BI).</t>
  </si>
  <si>
    <t>Watch sites, video or visual inspections</t>
  </si>
  <si>
    <t>xloopdigital.com/services/computer-vision · xloopdigital.com/xlab/xVision</t>
  </si>
  <si>
    <t>LoB owner (branch / plant ops)</t>
  </si>
  <si>
    <t>Do NOT cite xVision statistics (claims C5/C6 blocked).</t>
  </si>
  <si>
    <t>Help employees with HR and internal requests</t>
  </si>
  <si>
    <t>xloopdigital.com/xlab/hr-app-pilot</t>
  </si>
  <si>
    <t>LoB owner (HR)</t>
  </si>
  <si>
    <t>No published outcomes; product demo CTA (“See it on one site”).</t>
  </si>
  <si>
    <t>Not decided yet</t>
  </si>
  <si>
    <t>xloopdigital.com/services/ai-consulting-and-development</t>
  </si>
  <si>
    <t>ICP 1 Sponsor</t>
  </si>
  <si>
    <t>B1 questions still apply. Default CTA: use-case prioritisation session.</t>
  </si>
  <si>
    <t>X2</t>
  </si>
  <si>
    <t>Start (Q2)</t>
  </si>
  <si>
    <t>Which best describes your role?</t>
  </si>
  <si>
    <t>CEO, MD or founder</t>
  </si>
  <si>
    <t>ICP 1 (or ICP 4 if Energy &amp; utilities in Pakistan)</t>
  </si>
  <si>
    <t>Report leads with the business case and sponsorship (B1).</t>
  </si>
  <si>
    <t>CIO, CTO, CDO or head of digital</t>
  </si>
  <si>
    <t>Report leads with the Build/Safe balance and the roadmap.</t>
  </si>
  <si>
    <t>Head of data or analytics</t>
  </si>
  <si>
    <t>Report leads with Data &amp; Knowledge.</t>
  </si>
  <si>
    <t>CISO, head of security, risk or compliance</t>
  </si>
  <si>
    <t>ICP 3 Security champion</t>
  </si>
  <si>
    <t>Report leads with the Safe to Scale axis; show S-domain blockers first.</t>
  </si>
  <si>
    <t>Business unit or operations leader</t>
  </si>
  <si>
    <t>LoB owner (xLab buyer)</t>
  </si>
  <si>
    <t>Report leads with the use case; offer a product demo where X1 matches an xLab product.</t>
  </si>
  <si>
    <t>Engineering, product or platform lead</t>
  </si>
  <si>
    <t>ICP 5 Builder</t>
  </si>
  <si>
    <t>Report leads with Platform &amp; Delivery; offer a technical scoping call.</t>
  </si>
  <si>
    <t>Individual learner or exploring an AI career</t>
  </si>
  <si>
    <t>xloopdigital.com/xcelerate</t>
  </si>
  <si>
    <t>Not a buyer</t>
  </si>
  <si>
    <t>Results still shown. Exclude from pipeline; offer xCelerate. Keeps bootcamp applicants out of lead counts.</t>
  </si>
  <si>
    <t>Other</t>
  </si>
  <si>
    <t>Unmapped</t>
  </si>
  <si>
    <t>Default report order.</t>
  </si>
  <si>
    <t>X3</t>
  </si>
  <si>
    <t>Start (Q3)</t>
  </si>
  <si>
    <t>Which industry are you in?</t>
  </si>
  <si>
    <t>Banking &amp; financial services</t>
  </si>
  <si>
    <t>xloopdigital.com/industries/banking-and-finance</t>
  </si>
  <si>
    <t>Priority industry</t>
  </si>
  <si>
    <t>Secondary link on results. Proof: A8 (mobile banking, PCI-DSS and State Bank compliance).</t>
  </si>
  <si>
    <t>Energy &amp; utilities</t>
  </si>
  <si>
    <t>xloopdigital.com/industries/energy-and-utilities</t>
  </si>
  <si>
    <t>If country = Pakistan: also show the NEPRA IT/OT compliance page with phone/email CTA only (locked decision).</t>
  </si>
  <si>
    <t>Retail &amp; eCommerce</t>
  </si>
  <si>
    <t>xloopdigital.com/industries/retail-and-eCommerce</t>
  </si>
  <si>
    <t>Secondary link. Proof: A9.</t>
  </si>
  <si>
    <t>Healthcare</t>
  </si>
  <si>
    <t>xloopdigital.com/industries/healthcare</t>
  </si>
  <si>
    <t>Secondary link. Proof: A7, A10, A13.</t>
  </si>
  <si>
    <t>Transport &amp; logistics</t>
  </si>
  <si>
    <t>xloopdigital.com/industries/transports-and-logistics</t>
  </si>
  <si>
    <t>Secondary link.</t>
  </si>
  <si>
    <t>Telecoms &amp; ICT</t>
  </si>
  <si>
    <t>xloopdigital.com/industries/telco-itc</t>
  </si>
  <si>
    <t>Named industry</t>
  </si>
  <si>
    <t>Manufacturing</t>
  </si>
  <si>
    <t>xloopdigital.com/industries/manufacturing</t>
  </si>
  <si>
    <t>Government &amp; public sector</t>
  </si>
  <si>
    <t>xloopdigital.com/industries/smart-cities</t>
  </si>
  <si>
    <t>Secondary link. Do not reference xCrowdIQ (experimental).</t>
  </si>
  <si>
    <t>Education</t>
  </si>
  <si>
    <t>xloopdigital.com/industries/edTech</t>
  </si>
  <si>
    <t>No industry link.</t>
  </si>
  <si>
    <t>T1</t>
  </si>
  <si>
    <t>End (after S3.3)</t>
  </si>
  <si>
    <t>When would you like this use case working in production?</t>
  </si>
  <si>
    <t>Within 3 months</t>
  </si>
  <si>
    <t>Intent</t>
  </si>
  <si>
    <t>“Named a timeframe” (+3 intent). Qualifies for Priority A if fit.</t>
  </si>
  <si>
    <t>In 3–6 months</t>
  </si>
  <si>
    <t>+3 intent. Qualifies for Priority A if fit.</t>
  </si>
  <si>
    <t>In 6–12 months</t>
  </si>
  <si>
    <t>No intent points; Priority B.</t>
  </si>
  <si>
    <t>No date yet</t>
  </si>
  <si>
    <t>No intent points; nurture.</t>
  </si>
  <si>
    <t>Scoring model: working calculator</t>
  </si>
  <si>
    <t>Change blue cells only. The example respondent is realistic (one priority use case, some delivery capability, weak AI controls). Formulas recalculate when Excel opens the file.</t>
  </si>
  <si>
    <t>Parameters</t>
  </si>
  <si>
    <t>Axis threshold (Build and Safe)</t>
  </si>
  <si>
    <t>Score at or above this counts as “ready” on that axis</t>
  </si>
  <si>
    <t>Blocker threshold (answer score at or below)</t>
  </si>
  <si>
    <t>A blocker question scoring this or lower is flagged</t>
  </si>
  <si>
    <t>Build axis weight in overall score</t>
  </si>
  <si>
    <t>Safe weight = 1 − this</t>
  </si>
  <si>
    <t>Safe axis weight in overall score</t>
  </si>
  <si>
    <t>Formula</t>
  </si>
  <si>
    <t>Max points per question</t>
  </si>
  <si>
    <t>Fixed by design (0–3 scale)</t>
  </si>
  <si>
    <t>Version (Full or Short)</t>
  </si>
  <si>
    <t>Full</t>
  </si>
  <si>
    <t>Short = only the 12 Core questions count</t>
  </si>
  <si>
    <t>Blocker Q?</t>
  </si>
  <si>
    <t>Core Q?</t>
  </si>
  <si>
    <t>Example answer (0–3)</t>
  </si>
  <si>
    <t>Not sure? (Y/N)</t>
  </si>
  <si>
    <t>Included?</t>
  </si>
  <si>
    <t>Effective score</t>
  </si>
  <si>
    <t>Blocker hit</t>
  </si>
  <si>
    <t>Domain scores</t>
  </si>
  <si>
    <t>Weight</t>
  </si>
  <si>
    <t>Points</t>
  </si>
  <si>
    <t>Max points</t>
  </si>
  <si>
    <t>Domain %</t>
  </si>
  <si>
    <t>Blocker hits</t>
  </si>
  <si>
    <t>Priority index</t>
  </si>
  <si>
    <t>Weighted %</t>
  </si>
  <si>
    <t>Priority index = Domain % minus blocker hits, so any domain with a blocker sorts ahead of every domain without one. The lowest index becomes the primary recommendation.</t>
  </si>
  <si>
    <t>Results (what the respondent sees)</t>
  </si>
  <si>
    <t>Ready to Build score</t>
  </si>
  <si>
    <t>Safe to Scale score</t>
  </si>
  <si>
    <t>Overall readiness</t>
  </si>
  <si>
    <t>Profile</t>
  </si>
  <si>
    <t>Blockers found</t>
  </si>
  <si>
    <t>“Not sure” answers (visibility gaps)</t>
  </si>
  <si>
    <t>Priority domain</t>
  </si>
  <si>
    <t>Primary service page</t>
  </si>
  <si>
    <t>Primary CTA</t>
  </si>
  <si>
    <t>Results headline</t>
  </si>
  <si>
    <t>Blocker line</t>
  </si>
  <si>
    <t>Check (example): Build 63%, Safe 33% → “Moving Faster Than Guardrails”. Blockers in: Shadow AI &amp; Data Protection, Governance &amp; Compliance, Operate &amp; Monitor. The lowest priority index is Shadow AI &amp; Data Protection, so the CTA is “Book an AI Security Assessment”. If there are no blockers, the CTA falls back to the profile default. Profile checks use ≥, so every score maps to exactly one profile.</t>
  </si>
  <si>
    <t>Result profiles and results-page copy</t>
  </si>
  <si>
    <t>A profile is set by the two axis scores against the threshold in Scoring Model!B4. Copy follows xLoop brand voice: plain, welcoming, no fear-selling, no unsourced statistics.</t>
  </si>
  <si>
    <t>Rule</t>
  </si>
  <si>
    <t>What it means</t>
  </si>
  <si>
    <t>First move (in report)</t>
  </si>
  <si>
    <t>Default CTA (no blockers)</t>
  </si>
  <si>
    <t>Default service page</t>
  </si>
  <si>
    <t>Laying the Groundwork</t>
  </si>
  <si>
    <t>Build &lt; threshold AND Safe &lt; threshold</t>
  </si>
  <si>
    <t>Start with one use case and a few ground rules. It costs far less to get these right now than after you have built something.</t>
  </si>
  <si>
    <t>You are early on both axes. That is common, and it means the first decisions (which use case, who owns it, what data it can touch) will shape everything after.</t>
  </si>
  <si>
    <t>Pick one use case with a named owner and a success measure. At the same time, give staff an approved AI tool so they stop using public ones.</t>
  </si>
  <si>
    <t>Book a use-case prioritisation session</t>
  </si>
  <si>
    <t>Guardrails First</t>
  </si>
  <si>
    <t>Build &lt; threshold AND Safe ≥ threshold</t>
  </si>
  <si>
    <t>Your guardrails are in place. Now give a use case room to run.</t>
  </si>
  <si>
    <t>Your governance and controls are ahead of what you have built. The next gap is delivery: data, integration or the team to build with.</t>
  </si>
  <si>
    <t>Take your strongest-scoring use case into a scoped pilot with a production budget agreed up front.</t>
  </si>
  <si>
    <t>Book a Data &amp; Infrastructure Review</t>
  </si>
  <si>
    <t>xloopdigital.com/services/data-analytics</t>
  </si>
  <si>
    <t>Moving Faster Than Guardrails</t>
  </si>
  <si>
    <t>Build ≥ threshold AND Safe &lt; threshold</t>
  </si>
  <si>
    <t>You can build. Make sure it’s safe to scale before it reaches customers.</t>
  </si>
  <si>
    <t>You have the use case, data and people to build, but security, approval and monitoring have not kept pace. Organisations in this position usually find the gaps after launch.</t>
  </si>
  <si>
    <t>Put an AI security assessment and a go-live approval step in place before the next release.</t>
  </si>
  <si>
    <t>Book an AI Security Assessment</t>
  </si>
  <si>
    <t>xloopdigital.com/services/ai-security-service</t>
  </si>
  <si>
    <t>Ready to Scale</t>
  </si>
  <si>
    <t>Build ≥ threshold AND Safe ≥ threshold</t>
  </si>
  <si>
    <t>You have the foundations. The question now is which use case to scale first.</t>
  </si>
  <si>
    <t>You are ready on both axes. Any blockers listed below are the specific things still likely to slow you down.</t>
  </si>
  <si>
    <t>Choose the next use case to scale and test it against your production controls before rollout.</t>
  </si>
  <si>
    <t>Book a technical scoping call</t>
  </si>
  <si>
    <t>Use-case page from X1</t>
  </si>
  <si>
    <t>Blocker overlay (applies to every profile)</t>
  </si>
  <si>
    <t>If blockers ≥ 1</t>
  </si>
  <si>
    <t>Blocker hits &gt; 0</t>
  </si>
  <si>
    <t>Add under headline: “[N] things are likely to stall your first use case.”</t>
  </si>
  <si>
    <t>Blocker names are shown on the results page. The fix for each is in the unlocked report.</t>
  </si>
  <si>
    <t>The report orders its first moves by priority index (blocker domains first).</t>
  </si>
  <si>
    <t>CTA switches to the priority domain’s CTA (Service Routing, column E).</t>
  </si>
  <si>
    <t>Priority domain’s page</t>
  </si>
  <si>
    <t>If “Not sure” ≥ 3</t>
  </si>
  <si>
    <t>“Not sure” count ≥ 3</t>
  </si>
  <si>
    <t>Add: “You weren’t sure about [N] answers. That is useful to know in itself.”</t>
  </si>
  <si>
    <t>Low visibility often means the risk is real but hasn’t been measured yet.</t>
  </si>
  <si>
    <t>Suggest who in the organisation could answer each one.</t>
  </si>
  <si>
    <t>No change</t>
  </si>
  <si>
    <t>Role = CISO / security</t>
  </si>
  <si>
    <t>Show the Safe to Scale score first</t>
  </si>
  <si>
    <t>S-domain blockers listed first</t>
  </si>
  <si>
    <t>What the results page shows before any form (stage 3)</t>
  </si>
  <si>
    <t>Profile name + headline</t>
  </si>
  <si>
    <t>Both scores (0–100)</t>
  </si>
  <si>
    <t>6 domain bars</t>
  </si>
  <si>
    <t>Blocker names (not fixes)</t>
  </si>
  <si>
    <t>Primary CTA + “Get the full report”</t>
  </si>
  <si>
    <t>Use-case and industry page links</t>
  </si>
  <si>
    <t>Service routing: which xLoop page and next step each result sends people to</t>
  </si>
  <si>
    <t>Rows 5–10 are read by Scoring Model formulas. Do not insert rows above them. Maturity (M1–M5) is from offering_inventory.md. Per the qualification framework, do not qualify leads against offerings below M3. Proof IDs refer to approved_claims.md.</t>
  </si>
  <si>
    <t>Secondary page(s)</t>
  </si>
  <si>
    <t>Entry offer / CTA</t>
  </si>
  <si>
    <t>Offering maturity</t>
  </si>
  <si>
    <t>Approved proof to show (claim IDs)</t>
  </si>
  <si>
    <t>Report angle</t>
  </si>
  <si>
    <t>Status / to confirm</t>
  </si>
  <si>
    <t>AI Consulting &amp; Strategy: M4</t>
  </si>
  <si>
    <t>Method-led (no grade-A consulting proof). Use A12 or A18 depending on X1.</t>
  </si>
  <si>
    <t>Pilots stall without a funded owner. Report shows how to write the one-page case for production.</t>
  </si>
  <si>
    <t>Confirm “use-case prioritisation session” is a defined, deliverable offer</t>
  </si>
  <si>
    <t>xloopdigital.com/services/cloud-and-hyperscaling</t>
  </si>
  <si>
    <t>Data Analytics / Data Engineering: M4</t>
  </si>
  <si>
    <t>A9 (Snowflake lakehouse on AWS), A10 (billion-record health platform)</t>
  </si>
  <si>
    <t>AI projects fail at the data layer first. Report names which sources your use case depends on.</t>
  </si>
  <si>
    <t>CTA recommended in the DT pillar review (2026-09-16); confirm with data practice. Never name Fabric.</t>
  </si>
  <si>
    <t>Legacy System Modernization (HOLD until live) · xTalent page (confirm URL)</t>
  </si>
  <si>
    <t>Cloud &amp; Hyperscaling: M4 · Resource augmentation: M5</t>
  </si>
  <si>
    <t>A14 (legacy RPG to private cloud), A11 (10,000+ users at 99.9% uptime)</t>
  </si>
  <si>
    <t>If B3.1 = 1, lead with legacy integration; if B3.2 ≤ 2, lead with specialist engineering capacity (never “staff augmentation”).</t>
  </si>
  <si>
    <t>Hold the legacy link until the page ships</t>
  </si>
  <si>
    <t>AI Security Audit: M3</t>
  </si>
  <si>
    <t>A4 (certified ISO 27001 and ISO 42001 Lead Auditors), A7 (200+ domain VAPT). B1 red-team findings only with client permission.</t>
  </si>
  <si>
    <t>Staff are already using AI tools; the question is what data goes with them. Report lists the three controls to put in first.</t>
  </si>
  <si>
    <t>AI Security Assessment is built; ready to link</t>
  </si>
  <si>
    <t>Talk to an ISO 42001 Lead Auditor</t>
  </si>
  <si>
    <t>AI Governance as a Service: M2 → route as AI Security Audit (M3) with governance scope</t>
  </si>
  <si>
    <t>A4</t>
  </si>
  <si>
    <t>Governance speeds approvals up rather than slowing them down. Report gives a one-page approval step.</t>
  </si>
  <si>
    <t>M3 rule: do not qualify leads against the M2 governance offer. Confirm Lead Auditor availability.</t>
  </si>
  <si>
    <t>xloopdigital.com/services/large-language-models (LLMOps)</t>
  </si>
  <si>
    <t>Book a production readiness review</t>
  </si>
  <si>
    <t>AI SOC / Monitoring: M2–M3 · LLMOps: M3</t>
  </si>
  <si>
    <t>Method-led. Prompt-injection detection example needs client permission (B1).</t>
  </si>
  <si>
    <t>The first wrong answer in production is a when, not an if. Report shows the minimum owner, test set and rollback plan.</t>
  </si>
  <si>
    <t>Confirm “production readiness review” as an offer name and owner</t>
  </si>
  <si>
    <t>Service-page starter embeds: getting service pages to capture relevant leads</t>
  </si>
  <si>
    <t>Service page</t>
  </si>
  <si>
    <t>Embed headline</t>
  </si>
  <si>
    <t>Starter questions (then continue to full)</t>
  </si>
  <si>
    <t>Preset</t>
  </si>
  <si>
    <t>Why it works</t>
  </si>
  <si>
    <t>/services/ai-consulting-and-development</t>
  </si>
  <si>
    <t>Is your first GenAI use case ready to fund?</t>
  </si>
  <si>
    <t>B1.1, B1.2, B1.3</t>
  </si>
  <si>
    <t>X1 = Not decided yet</t>
  </si>
  <si>
    <t>The sponsor’s main fear is a pilot that goes nowhere. These three questions are about exactly that.</t>
  </si>
  <si>
    <t>/services/data-analytics</t>
  </si>
  <si>
    <t>Is your data ready for GenAI? Three questions.</t>
  </si>
  <si>
    <t>B2.1, B2.2, B2.3</t>
  </si>
  <si>
    <t>X2 = Head of data</t>
  </si>
  <si>
    <t>Speaks to the Head of Data’s core worry (fragmented, untrusted data) and gives a domain score in about 30 seconds.</t>
  </si>
  <si>
    <t>/services/cloud-and-hyperscaling</t>
  </si>
  <si>
    <t>Can your systems plug into AI?</t>
  </si>
  <si>
    <t>B3.1, B3.2, B3.3</t>
  </si>
  <si>
    <t>Finds legacy-integration leads for the upcoming Legacy System Modernization page.</t>
  </si>
  <si>
    <t>/services/ai-security-service</t>
  </si>
  <si>
    <t>What would happen if someone pasted a client contract into ChatGPT tomorrow?</t>
  </si>
  <si>
    <t>S1.1, S1.2, S1.3</t>
  </si>
  <si>
    <t>X2 = CISO / security</t>
  </si>
  <si>
    <t>Opens with the scenario security buyers already worry about; the AI Security Assessment is ready to deliver.</t>
  </si>
  <si>
    <t>/services/generative-ai · /services/large-language-models</t>
  </si>
  <si>
    <t>Before you build: are you ready to launch it safely?</t>
  </si>
  <si>
    <t>S3.1, S3.2, B2.2</t>
  </si>
  <si>
    <t>X1 from page</t>
  </si>
  <si>
    <t>Builders care most about quality and failure handling; the preset use case personalises the report.</t>
  </si>
  <si>
    <t>/services/ai-agents-and-autonomous-systems</t>
  </si>
  <si>
    <t>Are your systems and approvals ready for AI agents?</t>
  </si>
  <si>
    <t>B3.1, S2.1, S3.2</t>
  </si>
  <si>
    <t>X1 = AI agents</t>
  </si>
  <si>
    <t>Agents need integration, approval and a way to switch them off. Leads with xLoop’s strongest agent evidence (A18).</t>
  </si>
  <si>
    <t>/industries/* pages</t>
  </si>
  <si>
    <t>How GenAI-ready is [industry]?</t>
  </si>
  <si>
    <t>S1.1, B2.1, B1.2</t>
  </si>
  <si>
    <t>X3 from page</t>
  </si>
  <si>
    <t>A cross-domain teaser; industry preset makes the results relevant.</t>
  </si>
  <si>
    <t>Mechanics: each embed sends answers to the full assessment through a URL parameter (e.g. ?from=data-analytics). Starter answers are carried over, so the respondent picks up at question 4 instead of starting again. The entry page is saved to the CRM so each service page’s contribution to leads can be measured.</t>
  </si>
  <si>
    <t>Lead capture, CRM fields and lead priority</t>
  </si>
  <si>
    <t>Built to match 03_icp/qualification_framework.md. Items marked “Proposed” need marketing and sales sign-off.</t>
  </si>
  <si>
    <t>A. Stages and what we ask for</t>
  </si>
  <si>
    <t>Stage</t>
  </si>
  <si>
    <t>What the respondent sees</t>
  </si>
  <si>
    <t>What we ask for</t>
  </si>
  <si>
    <t>Why</t>
  </si>
  <si>
    <t>0. Landing page</t>
  </si>
  <si>
    <t>Headline, the 4 profiles, “about 6 minutes, results before any form”</t>
  </si>
  <si>
    <t>Nothing</t>
  </si>
  <si>
    <t>Keeps friction low. Showing the profiles up front sets expectations (v1 rule kept).</t>
  </si>
  <si>
    <t>1. Tailor (3 questions)</t>
  </si>
  <si>
    <t>X1 use case, X2 role, X3 industry</t>
  </si>
  <si>
    <t>Nothing personal</t>
  </si>
  <si>
    <t>Personalises the results and sets routing without a form.</t>
  </si>
  <si>
    <t>2. Assessment (18 + T1)</t>
  </si>
  <si>
    <t>Progress bar by domain; a one-line “why we ask” under some questions</t>
  </si>
  <si>
    <t>3. Instant results</t>
  </si>
  <si>
    <t>Profile, both scores, 6 domain bars, blocker names, primary CTA</t>
  </si>
  <si>
    <t>Gives real value first. The respondent sees they have blockers but not the fixes.</t>
  </si>
  <si>
    <t>4. Unlock full report</t>
  </si>
  <si>
    <t>PDF: domain explanations, fix for each blocker, 90-day first move for the chosen use case, relevant proof</t>
  </si>
  <si>
    <t>First name · Work email · Company · Company size · Country (pre-filled) · Consent</t>
  </si>
  <si>
    <t>5 fields versus 10Pearls’ 7 before starting. Size and country complete the fit checks.</t>
  </si>
  <si>
    <t>5. Walkthrough</t>
  </si>
  <si>
    <t>30-minute results walkthrough with an xLoop engineer</t>
  </si>
  <si>
    <t>Calendar booking (phone optional)</t>
  </si>
  <si>
    <t>A scoping call counts as the highest intent signal. The results make it a working session rather than a sales pitch.</t>
  </si>
  <si>
    <t>Exception: NEPRA</t>
  </si>
  <si>
    <t>If X3 = Energy &amp; utilities AND country = Pakistan</t>
  </si>
  <si>
    <t>Show the NEPRA page with phone +92 21 3586 9200 / xsecurity@xloopdigital.com</t>
  </si>
  <si>
    <t>Locked decision: phone and email only for NEPRA, no form.</t>
  </si>
  <si>
    <t>B. Fields written to CRM</t>
  </si>
  <si>
    <t>Identity</t>
  </si>
  <si>
    <t>First name, work email, company, company size, country</t>
  </si>
  <si>
    <t>Context</t>
  </si>
  <si>
    <t>X1 use case, X2 role, X3 industry, T1 timeline</t>
  </si>
  <si>
    <t>Scores</t>
  </si>
  <si>
    <t>All 18 answers (plus “Not sure” flags), 6 domain %, Build %, Safe %, overall %, profile</t>
  </si>
  <si>
    <t>Signals</t>
  </si>
  <si>
    <t>Blocker count and blocker domains, priority domain, “Not sure” count, version (Full/Short)</t>
  </si>
  <si>
    <t>Attribution</t>
  </si>
  <si>
    <t>Entry page (?from=), UTM source/medium/campaign, starter embed used (Y/N), report unlocked (Y/N), walkthrough booked (Y/N)</t>
  </si>
  <si>
    <t>C. Intent points (Gate 3 of the qualification framework: 4 or more needed for MQL)</t>
  </si>
  <si>
    <t>Signal</t>
  </si>
  <si>
    <t>Status</t>
  </si>
  <si>
    <t>Note</t>
  </si>
  <si>
    <t>Completed the AI Readiness Assessment</t>
  </si>
  <si>
    <t>Existing</t>
  </si>
  <si>
    <t>Already in the framework, so completing the assessment alone clears the intent bar</t>
  </si>
  <si>
    <t>T1 = within 3 months or 3–6 months</t>
  </si>
  <si>
    <t>Existing (“Named a timeframe”)</t>
  </si>
  <si>
    <t>Asked directly instead of waiting for it to come up</t>
  </si>
  <si>
    <t>Booked the results walkthrough</t>
  </si>
  <si>
    <t>Proposed (treated as “Requested a scoping call”)</t>
  </si>
  <si>
    <t>Confirm with sales</t>
  </si>
  <si>
    <t>Came in through a service-page starter embed</t>
  </si>
  <si>
    <t>Proposed</t>
  </si>
  <si>
    <t>Treated like “3+ page views in one pillar”: shows interest in a specific service</t>
  </si>
  <si>
    <t>1 or more blockers in a domain routed to an M3+ offer</t>
  </si>
  <si>
    <t>0 (routing only)</t>
  </si>
  <si>
    <t>Does not add intent points, but sets the CTA and the nurture track</t>
  </si>
  <si>
    <t>D. Lead priority (Proposed)</t>
  </si>
  <si>
    <t>Priority</t>
  </si>
  <si>
    <t>Action</t>
  </si>
  <si>
    <t>Fit reference</t>
  </si>
  <si>
    <t>A: sales within 1 business day</t>
  </si>
  <si>
    <t>Work email AND size meets the ICP floor for the X2 role AND (T1 ≤ 6 months OR walkthrough booked)</t>
  </si>
  <si>
    <t>Sales reviews the results before calling; the discovery agenda is the respondent’s blockers</t>
  </si>
  <si>
    <t>ICP floors: ICP 1 Sponsor 1,000+ · ICP 2 Data 500+ · ICP 3 Security 500+ · ICP 5 Builder 50–2,000 (icp_master.md)</t>
  </si>
  <si>
    <t>B: SDR review + domain nurture</t>
  </si>
  <si>
    <t>Work email AND (fit but T1 = 6–12 months / no date, OR below floor but T1 ≤ 6 months)</t>
  </si>
  <si>
    <t>Nurture track by priority domain; SDR checks for fit</t>
  </si>
  <si>
    <t>Size bands on form: 1–49 · 50–499 · 500–999 · 1,000–4,999 · 5,000+</t>
  </si>
  <si>
    <t>C: automated nurture only</t>
  </si>
  <si>
    <t>Personal email domain, OR size 1–49, OR profile = Laying the Groundwork with no date</t>
  </si>
  <si>
    <t>Report + monthly content only</t>
  </si>
  <si>
    <t>Exclude from pipeline</t>
  </si>
  <si>
    <t>X2 = Individual learner, OR a competitor / vendor domain</t>
  </si>
  <si>
    <t>Offer xCelerate; never count in lead volume</t>
  </si>
  <si>
    <t>Keeps bootcamp applicants from inflating lead numbers (offering_inventory.md §32)</t>
  </si>
  <si>
    <t>E. Nurture tracks (one per priority domain)</t>
  </si>
  <si>
    <t>Track</t>
  </si>
  <si>
    <t>Email 1 (day 0)</t>
  </si>
  <si>
    <t>Email 2 (day 5)</t>
  </si>
  <si>
    <t>Email 3 (day 12)</t>
  </si>
  <si>
    <t>Your report + how to write a one-page case for production funding</t>
  </si>
  <si>
    <t>How to pick a first use case: value, data, risk</t>
  </si>
  <si>
    <t>CTA: use-case prioritisation session</t>
  </si>
  <si>
    <t>Your report + which data sources your use case depends on</t>
  </si>
  <si>
    <t>Case: SAP to Snowflake lakehouse on AWS (A9)</t>
  </si>
  <si>
    <t>CTA: Data &amp; Infrastructure Review</t>
  </si>
  <si>
    <t>Your report + connecting AI to older systems without a rebuild</t>
  </si>
  <si>
    <t>Case: legacy RPG to private cloud (A14)</t>
  </si>
  <si>
    <t>CTA: technical scoping call</t>
  </si>
  <si>
    <t>Your report + three controls to put in place first</t>
  </si>
  <si>
    <t>What an AI security assessment covers (and doesn’t)</t>
  </si>
  <si>
    <t>CTA: AI Security Assessment</t>
  </si>
  <si>
    <t>Your report + a one-page AI go-live approval step</t>
  </si>
  <si>
    <t>ISO/IEC 42001 in plain language</t>
  </si>
  <si>
    <t>CTA: talk to an ISO 42001 Lead Auditor</t>
  </si>
  <si>
    <t>Your report + the minimum test set, owner and rollback plan</t>
  </si>
  <si>
    <t>What to monitor after launch: quality, cost, misuse</t>
  </si>
  <si>
    <t>CTA: production readiness review</t>
  </si>
  <si>
    <t>Launch, traffic and measurement</t>
  </si>
  <si>
    <t>Nothing below uses statistics. Do not add any until they are sourced (prohibited_claims.md §3 and §7).</t>
  </si>
  <si>
    <t>Recommendation</t>
  </si>
  <si>
    <t>Detail / copy</t>
  </si>
  <si>
    <t>URL &amp; title tag</t>
  </si>
  <si>
    <t>Keep “AI Readiness Assessment” as the exact phrase</t>
  </si>
  <si>
    <t>URL: /ai-readiness-assessment · Title: “Generative AI Readiness Assessment: Free, 6 Minutes | xLoop Digital” (fix the doubled “| xLoop Digital” suffix bug first)</t>
  </si>
  <si>
    <t>Meta description</t>
  </si>
  <si>
    <t>Name what is different</t>
  </si>
  <si>
    <t>“Get two scores, Ready to Build and Safe to Scale, plus the specific blockers likely to stall your first GenAI use case. Results before any form.”</t>
  </si>
  <si>
    <t>H1 + subhead</t>
  </si>
  <si>
    <t>Lead with the buyer’s question, not xLoop</t>
  </si>
  <si>
    <t>H1: “Is your first GenAI use case ready to build, and safe to scale?” · Sub: “22 quick questions. See both scores and what’s likely to stall you before we ask for anything.”</t>
  </si>
  <si>
    <t>On-page method section</t>
  </si>
  <si>
    <t>Publish how the scoring works</t>
  </si>
  <si>
    <t>Show the 6 domains, the 0–3 scale, the blocker rule and the 4 profiles. Being open about the method builds trust and gives answer engines something to cite. No competitor reviewed publishes its method.</t>
  </si>
  <si>
    <t>FAQ (server-rendered, FAQPage schema)</t>
  </si>
  <si>
    <t>5 questions</t>
  </si>
  <si>
    <t>How long does it take? · Do I have to give my email? · How is this different from a maturity score? · What happens to my answers? · What happens after I get my results?</t>
  </si>
  <si>
    <t>Service-page embeds</t>
  </si>
  <si>
    <t>Add a 3-question starter to 7 page types</t>
  </si>
  <si>
    <t>See Service Routing. Measure starts and completions by entry page.</t>
  </si>
  <si>
    <t>Sitewide CTA</t>
  </si>
  <si>
    <t>Repoint “Get your AI Readiness Score” only after launch</t>
  </si>
  <si>
    <t>Claim B4: until the tool is live, the DT pillar CTA stays “Book a Data &amp; Infrastructure Review”.</t>
  </si>
  <si>
    <t>Pillar content</t>
  </si>
  <si>
    <t>“Six things that stall a GenAI pilot”</t>
  </si>
  <si>
    <t>One section per domain, each linking to that domain’s starter. It follows the Pillar 1 guidance to lead with method rather than outcomes.</t>
  </si>
  <si>
    <t>Sales enablement</t>
  </si>
  <si>
    <t>Use the short version before discovery calls</t>
  </si>
  <si>
    <t>SDRs send the 12-question version with a personal link, so results are ready before the meeting.</t>
  </si>
  <si>
    <t>LinkedIn / paid</t>
  </si>
  <si>
    <t>Promote the scenario, not the tool</t>
  </si>
  <si>
    <t>Lead creative with S1.1 (“What would happen if someone pasted a client contract into a public chatbot tomorrow?”) and target the ICP 1 and ICP 3 titles.</t>
  </si>
  <si>
    <t>Research asset (later)</t>
  </si>
  <si>
    <t>Publish a real aggregate report once there is enough data</t>
  </si>
  <si>
    <t>Proposed trigger: 150+ completed responses. For example “GenAI readiness across Pakistan and the GCC”, using real response data only. It would earn PR and backlinks.</t>
  </si>
  <si>
    <t>Measurement</t>
  </si>
  <si>
    <t>GA4 events</t>
  </si>
  <si>
    <t>assessment_start (with entry page) · domain_complete ×6 · results_view · report_unlock · walkthrough_booked. Watch the funnel: start→complete, complete→unlock, unlock→walkthrough.</t>
  </si>
  <si>
    <t>Calibration</t>
  </si>
  <si>
    <t>Review after 50 completions</t>
  </si>
  <si>
    <t>Check the profile split (if over 70% land in one profile, adjust the threshold), how often each blocker fires, “Not sure” rates per question (over 40% = rewrite it), and completion drop-off by question (consider the Short version as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</si>
</sst>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1F2A44"/>
      <sz val="14"/>
      <name val="Arial"/>
    </font>
    <font>
      <i/>
      <color rgb="FF595959"/>
      <sz val="10"/>
      <name val="Arial"/>
    </font>
    <font>
      <b/>
      <color rgb="FF2E5AAC"/>
      <sz val="11"/>
      <name val="Arial"/>
    </font>
    <font>
      <sz val="10"/>
      <name val="Arial"/>
    </font>
    <font>
      <b/>
      <color rgb="FF0000FF"/>
      <sz val="10"/>
      <name val="Arial"/>
    </font>
    <font>
      <b/>
      <color rgb="FF008000"/>
      <sz val="10"/>
      <name val="Arial"/>
    </font>
    <font>
      <b/>
      <color rgb="FFFFFFFF"/>
      <sz val="10"/>
      <name val="Arial"/>
    </font>
    <font>
      <b/>
      <sz val="10"/>
      <name val="Arial"/>
    </font>
    <font>
      <b/>
      <color rgb="FFC00000"/>
      <sz val="10"/>
      <name val="Arial"/>
    </font>
    <font>
      <b/>
      <color rgb="FFB45F06"/>
      <sz val="10"/>
      <name val="Arial"/>
    </font>
    <font>
      <b/>
      <color rgb="FF595959"/>
      <sz val="10"/>
      <name val="Arial"/>
    </font>
    <font>
      <color rgb="FF0000FF"/>
      <sz val="10"/>
      <name val="Arial"/>
    </font>
    <font>
      <color rgb="FF000000"/>
      <sz val="10"/>
      <name val="Arial"/>
    </font>
    <font>
      <b/>
      <color rgb="FF000000"/>
      <sz val="10"/>
      <name val="Arial"/>
    </font>
    <font>
      <color rgb="FF008000"/>
      <sz val="10"/>
      <name val="Arial"/>
    </font>
  </fonts>
  <fills count="5">
    <fill>
      <patternFill patternType="none"/>
    </fill>
    <fill>
      <patternFill patternType="gray125"/>
    </fill>
    <fill>
      <patternFill patternType="solid">
        <fgColor rgb="FFEEF2F8"/>
      </patternFill>
    </fill>
    <fill>
      <patternFill patternType="solid">
        <fgColor rgb="FFFFF2CC"/>
      </patternFill>
    </fill>
    <fill>
      <patternFill patternType="solid">
        <fgColor rgb="FF1F2A44"/>
      </patternFill>
    </fill>
  </fills>
  <borders count="2">
    <border>
      <left/>
      <right/>
      <top/>
      <bottom/>
      <diagonal/>
    </border>
    <border>
      <left/>
      <right/>
      <top/>
      <bottom style="hair">
        <color rgb="FFD0D7E2"/>
      </bottom>
      <diagonal/>
    </border>
  </borders>
  <cellStyleXfs count="1">
    <xf numFmtId="0" fontId="0" fillId="0" borderId="0"/>
  </cellStyleXfs>
  <cellXfs count="38">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4" fillId="3" borderId="1" xfId="0" applyFont="1" applyFill="1" applyBorder="1" applyAlignment="1">
      <alignment vertical="top" wrapText="1"/>
    </xf>
    <xf numFmtId="0" fontId="7" fillId="4" borderId="0" xfId="0" applyFont="1" applyFill="1" applyAlignment="1">
      <alignment vertical="center" wrapText="1"/>
    </xf>
    <xf numFmtId="0" fontId="8" fillId="0" borderId="1" xfId="0" applyFont="1" applyBorder="1" applyAlignment="1">
      <alignment vertical="top" wrapText="1"/>
    </xf>
    <xf numFmtId="0" fontId="4" fillId="2" borderId="0" xfId="0" applyFont="1" applyFill="1" applyAlignment="1">
      <alignment vertical="top" wrapText="1"/>
    </xf>
    <xf numFmtId="0" fontId="9" fillId="2" borderId="1" xfId="0" applyFont="1" applyFill="1" applyBorder="1" applyAlignment="1">
      <alignment vertical="top" wrapText="1"/>
    </xf>
    <xf numFmtId="0" fontId="9" fillId="0" borderId="1" xfId="0" applyFont="1" applyBorder="1" applyAlignment="1">
      <alignment vertical="top" wrapText="1"/>
    </xf>
    <xf numFmtId="0" fontId="10" fillId="2" borderId="1" xfId="0" applyFont="1" applyFill="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1" fillId="2" borderId="1" xfId="0" applyFont="1" applyFill="1" applyBorder="1" applyAlignment="1">
      <alignment vertical="top" wrapText="1"/>
    </xf>
    <xf numFmtId="0" fontId="6" fillId="0" borderId="1" xfId="0" applyFont="1" applyBorder="1" applyAlignment="1">
      <alignment vertical="top" wrapText="1"/>
    </xf>
    <xf numFmtId="0" fontId="8" fillId="2" borderId="1" xfId="0" applyFont="1" applyFill="1" applyBorder="1" applyAlignment="1">
      <alignment vertical="top" wrapText="1"/>
    </xf>
    <xf numFmtId="0" fontId="4" fillId="0" borderId="0" xfId="0" applyFont="1"/>
    <xf numFmtId="9" fontId="12" fillId="0" borderId="0" xfId="0" applyNumberFormat="1" applyFont="1"/>
    <xf numFmtId="0" fontId="2" fillId="0" borderId="0" xfId="0" applyFont="1"/>
    <xf numFmtId="1" fontId="12" fillId="0" borderId="0" xfId="0" applyNumberFormat="1" applyFont="1"/>
    <xf numFmtId="9" fontId="4" fillId="0" borderId="0" xfId="0" applyNumberFormat="1" applyFont="1"/>
    <xf numFmtId="49" fontId="12" fillId="0" borderId="0" xfId="0" applyNumberFormat="1" applyFont="1"/>
    <xf numFmtId="0" fontId="4" fillId="2" borderId="0" xfId="0" applyFont="1" applyFill="1"/>
    <xf numFmtId="0" fontId="12" fillId="2" borderId="0" xfId="0" applyFont="1" applyFill="1"/>
    <xf numFmtId="0" fontId="12" fillId="0" borderId="0" xfId="0" applyFont="1"/>
    <xf numFmtId="2" fontId="4" fillId="0" borderId="0" xfId="0" applyNumberFormat="1" applyFont="1"/>
    <xf numFmtId="0" fontId="2" fillId="0" borderId="0" xfId="0" applyFont="1" applyAlignment="1">
      <alignment wrapText="1"/>
    </xf>
    <xf numFmtId="0" fontId="8" fillId="0" borderId="0" xfId="0" applyFont="1"/>
    <xf numFmtId="9" fontId="13" fillId="2" borderId="0" xfId="0" applyNumberFormat="1" applyFont="1" applyFill="1" applyAlignment="1">
      <alignment horizontal="left" wrapText="1"/>
    </xf>
    <xf numFmtId="49" fontId="14" fillId="2" borderId="0" xfId="0" applyNumberFormat="1" applyFont="1" applyFill="1" applyAlignment="1">
      <alignment horizontal="left" wrapText="1"/>
    </xf>
    <xf numFmtId="1" fontId="13" fillId="2" borderId="0" xfId="0" applyNumberFormat="1" applyFont="1" applyFill="1" applyAlignment="1">
      <alignment horizontal="left" wrapText="1"/>
    </xf>
    <xf numFmtId="49" fontId="13" fillId="2" borderId="0" xfId="0" applyNumberFormat="1" applyFont="1" applyFill="1" applyAlignment="1">
      <alignment horizontal="left" wrapText="1"/>
    </xf>
    <xf numFmtId="49" fontId="15" fillId="2" borderId="0" xfId="0" applyNumberFormat="1"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howGridLines="0"/>
  </sheetViews>
  <sheetFormatPr defaultRowHeight="15" outlineLevelRow="0" outlineLevelCol="0" x14ac:dyDescent="55"/>
  <cols>
    <col min="1" max="1" width="26" customWidth="1"/>
    <col min="2" max="2" width="110" customWidth="1"/>
  </cols>
  <sheetData>
    <row r="1" spans="1:2" x14ac:dyDescent="0.25">
      <c r="A1" s="1" t="s">
        <v>0</v>
      </c>
      <c r="B1" s="1"/>
    </row>
    <row r="2" ht="30" customHeight="1" spans="1:2" x14ac:dyDescent="0.25">
      <c r="A2" s="2" t="s">
        <v>1</v>
      </c>
      <c r="B2" s="2"/>
    </row>
    <row r="4" spans="1:2" x14ac:dyDescent="0.25">
      <c r="A4" s="3" t="s">
        <v>2</v>
      </c>
      <c r="B4" s="3"/>
    </row>
    <row r="5" ht="100" customHeight="1" spans="1:2" x14ac:dyDescent="0.25">
      <c r="A5" s="4" t="s">
        <v>3</v>
      </c>
      <c r="B5" s="4"/>
    </row>
    <row r="7" spans="1:2" x14ac:dyDescent="0.25">
      <c r="A7" s="3" t="s">
        <v>4</v>
      </c>
      <c r="B7" s="3"/>
    </row>
    <row r="8" ht="30" customHeight="1" spans="1:2" x14ac:dyDescent="0.25">
      <c r="A8" s="5" t="s">
        <v>5</v>
      </c>
      <c r="B8" s="5" t="s">
        <v>6</v>
      </c>
    </row>
    <row r="9" ht="30" customHeight="1" spans="1:2" x14ac:dyDescent="0.25">
      <c r="A9" s="6" t="s">
        <v>7</v>
      </c>
      <c r="B9" s="6" t="s">
        <v>8</v>
      </c>
    </row>
    <row r="10" ht="43" customHeight="1" spans="1:2" x14ac:dyDescent="0.25">
      <c r="A10" s="5" t="s">
        <v>9</v>
      </c>
      <c r="B10" s="5" t="s">
        <v>10</v>
      </c>
    </row>
    <row r="11" ht="30" customHeight="1" spans="1:2" x14ac:dyDescent="0.25">
      <c r="A11" s="6" t="s">
        <v>11</v>
      </c>
      <c r="B11" s="6" t="s">
        <v>12</v>
      </c>
    </row>
    <row r="12" ht="30" customHeight="1" spans="1:2" x14ac:dyDescent="0.25">
      <c r="A12" s="5" t="s">
        <v>13</v>
      </c>
      <c r="B12" s="5" t="s">
        <v>14</v>
      </c>
    </row>
    <row r="13" ht="30" customHeight="1" spans="1:2" x14ac:dyDescent="0.25">
      <c r="A13" s="6" t="s">
        <v>15</v>
      </c>
      <c r="B13" s="6" t="s">
        <v>16</v>
      </c>
    </row>
    <row r="14" ht="30" customHeight="1" spans="1:2" x14ac:dyDescent="0.25">
      <c r="A14" s="5" t="s">
        <v>17</v>
      </c>
      <c r="B14" s="5" t="s">
        <v>18</v>
      </c>
    </row>
    <row r="15" ht="30" customHeight="1" spans="1:2" x14ac:dyDescent="0.25">
      <c r="A15" s="6" t="s">
        <v>19</v>
      </c>
      <c r="B15" s="6" t="s">
        <v>20</v>
      </c>
    </row>
    <row r="16" ht="17" customHeight="1" spans="1:2" x14ac:dyDescent="0.25">
      <c r="A16" s="5" t="s">
        <v>21</v>
      </c>
      <c r="B16" s="5" t="s">
        <v>22</v>
      </c>
    </row>
    <row r="18" spans="1:2" x14ac:dyDescent="0.25">
      <c r="A18" s="3" t="s">
        <v>23</v>
      </c>
      <c r="B18" s="3"/>
    </row>
    <row r="19" ht="17" customHeight="1" spans="1:2" x14ac:dyDescent="0.25">
      <c r="A19" s="7" t="s">
        <v>24</v>
      </c>
      <c r="B19" s="5" t="s">
        <v>25</v>
      </c>
    </row>
    <row r="20" ht="17" customHeight="1" spans="1:2" x14ac:dyDescent="0.25">
      <c r="A20" s="6" t="s">
        <v>26</v>
      </c>
      <c r="B20" s="6" t="s">
        <v>27</v>
      </c>
    </row>
    <row r="21" ht="17" customHeight="1" spans="1:2" x14ac:dyDescent="0.25">
      <c r="A21" s="8" t="s">
        <v>28</v>
      </c>
      <c r="B21" s="5" t="s">
        <v>29</v>
      </c>
    </row>
    <row r="22" ht="17" customHeight="1" spans="1:2" x14ac:dyDescent="0.25">
      <c r="A22" s="9" t="s">
        <v>30</v>
      </c>
      <c r="B22" s="6" t="s">
        <v>31</v>
      </c>
    </row>
    <row r="24" spans="1:2" x14ac:dyDescent="0.25">
      <c r="A24" s="3" t="s">
        <v>32</v>
      </c>
      <c r="B24" s="3"/>
    </row>
    <row r="25" ht="30" customHeight="1" spans="1:2" x14ac:dyDescent="0.25">
      <c r="A25" s="9" t="s">
        <v>33</v>
      </c>
      <c r="B25" s="5" t="s">
        <v>34</v>
      </c>
    </row>
    <row r="26" ht="43" customHeight="1" spans="1:2" x14ac:dyDescent="0.25">
      <c r="A26" s="9" t="s">
        <v>35</v>
      </c>
      <c r="B26" s="6" t="s">
        <v>36</v>
      </c>
    </row>
    <row r="27" ht="30" customHeight="1" spans="1:2" x14ac:dyDescent="0.25">
      <c r="A27" s="9" t="s">
        <v>37</v>
      </c>
      <c r="B27" s="5" t="s">
        <v>38</v>
      </c>
    </row>
    <row r="28" ht="30" customHeight="1" spans="1:2" x14ac:dyDescent="0.25">
      <c r="A28" s="9" t="s">
        <v>39</v>
      </c>
      <c r="B28" s="6" t="s">
        <v>40</v>
      </c>
    </row>
    <row r="29" ht="30" customHeight="1" spans="1:2" x14ac:dyDescent="0.25">
      <c r="A29" s="9" t="s">
        <v>41</v>
      </c>
      <c r="B29" s="5" t="s">
        <v>42</v>
      </c>
    </row>
    <row r="30" ht="30" customHeight="1" spans="1:2" x14ac:dyDescent="0.25">
      <c r="A30" s="9" t="s">
        <v>43</v>
      </c>
      <c r="B30" s="6" t="s">
        <v>44</v>
      </c>
    </row>
    <row r="31" ht="30" customHeight="1" spans="1:2" x14ac:dyDescent="0.25">
      <c r="A31" s="9" t="s">
        <v>45</v>
      </c>
      <c r="B31" s="5" t="s">
        <v>46</v>
      </c>
    </row>
    <row r="33" spans="1:2" x14ac:dyDescent="0.25">
      <c r="A33" s="3" t="s">
        <v>47</v>
      </c>
      <c r="B33" s="3"/>
    </row>
    <row r="34" ht="17" customHeight="1" spans="1:2" x14ac:dyDescent="0.25">
      <c r="A34" s="5" t="s">
        <v>48</v>
      </c>
      <c r="B34" s="5" t="s">
        <v>49</v>
      </c>
    </row>
    <row r="35" ht="30" customHeight="1" spans="1:2" x14ac:dyDescent="0.25">
      <c r="A35" s="6" t="s">
        <v>50</v>
      </c>
      <c r="B35" s="6" t="s">
        <v>51</v>
      </c>
    </row>
    <row r="36" ht="17" customHeight="1" spans="1:2" x14ac:dyDescent="0.25">
      <c r="A36" s="5" t="s">
        <v>52</v>
      </c>
      <c r="B36" s="5" t="s">
        <v>53</v>
      </c>
    </row>
    <row r="37" ht="30" customHeight="1" spans="1:2" x14ac:dyDescent="0.25">
      <c r="A37" s="6" t="s">
        <v>54</v>
      </c>
      <c r="B37" s="6" t="s">
        <v>55</v>
      </c>
    </row>
  </sheetData>
  <mergeCells count="8">
    <mergeCell ref="A1:B1"/>
    <mergeCell ref="A2:B2"/>
    <mergeCell ref="A4:B4"/>
    <mergeCell ref="A5:B5"/>
    <mergeCell ref="A7:B7"/>
    <mergeCell ref="A18:B18"/>
    <mergeCell ref="A24:B24"/>
    <mergeCell ref="A33:B3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showGridLines="0">
      <pane xSplit="1" ySplit="4" topLeftCell="B5" activePane="bottomRight" state="frozen"/>
      <selection pane="bottomRight"/>
    </sheetView>
  </sheetViews>
  <sheetFormatPr defaultRowHeight="15" outlineLevelRow="0" outlineLevelCol="0" x14ac:dyDescent="55"/>
  <cols>
    <col min="1" max="1" width="20" customWidth="1"/>
    <col min="2" max="3" width="16" customWidth="1"/>
    <col min="4" max="4" width="12" customWidth="1"/>
    <col min="5" max="5" width="30" customWidth="1"/>
    <col min="6" max="6" width="22" customWidth="1"/>
    <col min="7" max="7" width="26" customWidth="1"/>
    <col min="8" max="8" width="34" customWidth="1"/>
    <col min="9" max="9" width="18" customWidth="1"/>
    <col min="10" max="10" width="44" customWidth="1"/>
  </cols>
  <sheetData>
    <row r="1" spans="1:10" x14ac:dyDescent="0.25">
      <c r="A1" s="1" t="s">
        <v>56</v>
      </c>
      <c r="B1" s="1"/>
      <c r="C1" s="1"/>
      <c r="D1" s="1"/>
      <c r="E1" s="1"/>
      <c r="F1" s="1"/>
      <c r="G1" s="1"/>
      <c r="H1" s="1"/>
      <c r="I1" s="1"/>
      <c r="J1" s="1"/>
    </row>
    <row r="2" ht="30" customHeight="1" spans="1:10" x14ac:dyDescent="0.25">
      <c r="A2" s="2" t="s">
        <v>57</v>
      </c>
      <c r="B2" s="2"/>
      <c r="C2" s="2"/>
      <c r="D2" s="2"/>
      <c r="E2" s="2"/>
      <c r="F2" s="2"/>
      <c r="G2" s="2"/>
      <c r="H2" s="2"/>
      <c r="I2" s="2"/>
      <c r="J2" s="2"/>
    </row>
    <row r="4" ht="30" customHeight="1" spans="1:10" x14ac:dyDescent="0.25">
      <c r="A4" s="10" t="s">
        <v>58</v>
      </c>
      <c r="B4" s="10" t="s">
        <v>59</v>
      </c>
      <c r="C4" s="10" t="s">
        <v>60</v>
      </c>
      <c r="D4" s="10" t="s">
        <v>61</v>
      </c>
      <c r="E4" s="10" t="s">
        <v>62</v>
      </c>
      <c r="F4" s="10" t="s">
        <v>63</v>
      </c>
      <c r="G4" s="10" t="s">
        <v>64</v>
      </c>
      <c r="H4" s="10" t="s">
        <v>65</v>
      </c>
      <c r="I4" s="10" t="s">
        <v>66</v>
      </c>
      <c r="J4" s="10" t="s">
        <v>67</v>
      </c>
    </row>
    <row r="5" ht="56" customHeight="1" spans="1:10" x14ac:dyDescent="0.25">
      <c r="A5" s="5" t="s">
        <v>68</v>
      </c>
      <c r="B5" s="5" t="s">
        <v>69</v>
      </c>
      <c r="C5" s="5" t="s">
        <v>70</v>
      </c>
      <c r="D5" s="5" t="s">
        <v>71</v>
      </c>
      <c r="E5" s="5" t="s">
        <v>72</v>
      </c>
      <c r="F5" s="5" t="s">
        <v>73</v>
      </c>
      <c r="G5" s="5" t="s">
        <v>74</v>
      </c>
      <c r="H5" s="5" t="s">
        <v>75</v>
      </c>
      <c r="I5" s="5" t="s">
        <v>76</v>
      </c>
      <c r="J5" s="5" t="s">
        <v>77</v>
      </c>
    </row>
    <row r="6" ht="69" customHeight="1" spans="1:10" x14ac:dyDescent="0.25">
      <c r="A6" s="6" t="s">
        <v>78</v>
      </c>
      <c r="B6" s="6" t="s">
        <v>79</v>
      </c>
      <c r="C6" s="6" t="s">
        <v>80</v>
      </c>
      <c r="D6" s="6" t="s">
        <v>81</v>
      </c>
      <c r="E6" s="6" t="s">
        <v>82</v>
      </c>
      <c r="F6" s="6" t="s">
        <v>83</v>
      </c>
      <c r="G6" s="6" t="s">
        <v>84</v>
      </c>
      <c r="H6" s="6" t="s">
        <v>85</v>
      </c>
      <c r="I6" s="6" t="s">
        <v>76</v>
      </c>
      <c r="J6" s="6" t="s">
        <v>86</v>
      </c>
    </row>
    <row r="7" ht="69" customHeight="1" spans="1:10" x14ac:dyDescent="0.25">
      <c r="A7" s="5" t="s">
        <v>87</v>
      </c>
      <c r="B7" s="5" t="s">
        <v>79</v>
      </c>
      <c r="C7" s="5" t="s">
        <v>88</v>
      </c>
      <c r="D7" s="5" t="s">
        <v>89</v>
      </c>
      <c r="E7" s="5" t="s">
        <v>90</v>
      </c>
      <c r="F7" s="5" t="s">
        <v>91</v>
      </c>
      <c r="G7" s="5" t="s">
        <v>92</v>
      </c>
      <c r="H7" s="5" t="s">
        <v>93</v>
      </c>
      <c r="I7" s="5" t="s">
        <v>94</v>
      </c>
      <c r="J7" s="5" t="s">
        <v>95</v>
      </c>
    </row>
    <row r="8" ht="69" customHeight="1" spans="1:10" x14ac:dyDescent="0.25">
      <c r="A8" s="6" t="s">
        <v>96</v>
      </c>
      <c r="B8" s="6" t="s">
        <v>97</v>
      </c>
      <c r="C8" s="6" t="s">
        <v>98</v>
      </c>
      <c r="D8" s="6" t="s">
        <v>99</v>
      </c>
      <c r="E8" s="6" t="s">
        <v>100</v>
      </c>
      <c r="F8" s="6" t="s">
        <v>101</v>
      </c>
      <c r="G8" s="6" t="s">
        <v>102</v>
      </c>
      <c r="H8" s="11" t="s">
        <v>103</v>
      </c>
      <c r="I8" s="6" t="s">
        <v>76</v>
      </c>
      <c r="J8" s="6" t="s">
        <v>104</v>
      </c>
    </row>
    <row r="9" ht="56" customHeight="1" spans="1:10" x14ac:dyDescent="0.25">
      <c r="A9" s="5" t="s">
        <v>105</v>
      </c>
      <c r="B9" s="5" t="s">
        <v>106</v>
      </c>
      <c r="C9" s="5" t="s">
        <v>107</v>
      </c>
      <c r="D9" s="5" t="s">
        <v>108</v>
      </c>
      <c r="E9" s="5" t="s">
        <v>109</v>
      </c>
      <c r="F9" s="5" t="s">
        <v>110</v>
      </c>
      <c r="G9" s="5" t="s">
        <v>111</v>
      </c>
      <c r="H9" s="5" t="s">
        <v>112</v>
      </c>
      <c r="I9" s="5" t="s">
        <v>76</v>
      </c>
      <c r="J9" s="5" t="s">
        <v>113</v>
      </c>
    </row>
    <row r="10" ht="69" customHeight="1" spans="1:10" x14ac:dyDescent="0.25">
      <c r="A10" s="6" t="s">
        <v>114</v>
      </c>
      <c r="B10" s="6" t="s">
        <v>115</v>
      </c>
      <c r="C10" s="6" t="s">
        <v>116</v>
      </c>
      <c r="D10" s="6" t="s">
        <v>117</v>
      </c>
      <c r="E10" s="6" t="s">
        <v>118</v>
      </c>
      <c r="F10" s="6" t="s">
        <v>119</v>
      </c>
      <c r="G10" s="6" t="s">
        <v>120</v>
      </c>
      <c r="H10" s="6" t="s">
        <v>121</v>
      </c>
      <c r="I10" s="6" t="s">
        <v>122</v>
      </c>
      <c r="J10" s="6" t="s">
        <v>123</v>
      </c>
    </row>
    <row r="11" ht="43" customHeight="1" spans="1:10" x14ac:dyDescent="0.25">
      <c r="A11" s="5" t="s">
        <v>124</v>
      </c>
      <c r="B11" s="5" t="s">
        <v>106</v>
      </c>
      <c r="C11" s="5" t="s">
        <v>107</v>
      </c>
      <c r="D11" s="5" t="s">
        <v>125</v>
      </c>
      <c r="E11" s="5" t="s">
        <v>126</v>
      </c>
      <c r="F11" s="5" t="s">
        <v>119</v>
      </c>
      <c r="G11" s="5" t="s">
        <v>127</v>
      </c>
      <c r="H11" s="5" t="s">
        <v>128</v>
      </c>
      <c r="I11" s="5" t="s">
        <v>94</v>
      </c>
      <c r="J11" s="5" t="s">
        <v>129</v>
      </c>
    </row>
    <row r="12" ht="56" customHeight="1" spans="1:10" x14ac:dyDescent="0.25">
      <c r="A12" s="6" t="s">
        <v>130</v>
      </c>
      <c r="B12" s="6" t="s">
        <v>131</v>
      </c>
      <c r="C12" s="6" t="s">
        <v>132</v>
      </c>
      <c r="D12" s="6" t="s">
        <v>133</v>
      </c>
      <c r="E12" s="6" t="s">
        <v>134</v>
      </c>
      <c r="F12" s="6" t="s">
        <v>135</v>
      </c>
      <c r="G12" s="6" t="s">
        <v>136</v>
      </c>
      <c r="H12" s="6" t="s">
        <v>137</v>
      </c>
      <c r="I12" s="6" t="s">
        <v>76</v>
      </c>
      <c r="J12" s="6" t="s">
        <v>138</v>
      </c>
    </row>
    <row r="13" ht="56" customHeight="1" spans="1:10" x14ac:dyDescent="0.25">
      <c r="A13" s="5" t="s">
        <v>139</v>
      </c>
      <c r="B13" s="5" t="s">
        <v>131</v>
      </c>
      <c r="C13" s="5" t="s">
        <v>140</v>
      </c>
      <c r="D13" s="5" t="s">
        <v>141</v>
      </c>
      <c r="E13" s="5" t="s">
        <v>142</v>
      </c>
      <c r="F13" s="5" t="s">
        <v>143</v>
      </c>
      <c r="G13" s="5" t="s">
        <v>144</v>
      </c>
      <c r="H13" s="5" t="s">
        <v>145</v>
      </c>
      <c r="I13" s="5" t="s">
        <v>94</v>
      </c>
      <c r="J13" s="5" t="s">
        <v>146</v>
      </c>
    </row>
    <row r="14" ht="56" customHeight="1" spans="1:10" x14ac:dyDescent="0.25">
      <c r="A14" s="6" t="s">
        <v>147</v>
      </c>
      <c r="B14" s="6" t="s">
        <v>148</v>
      </c>
      <c r="C14" s="6" t="s">
        <v>98</v>
      </c>
      <c r="D14" s="6" t="s">
        <v>149</v>
      </c>
      <c r="E14" s="6" t="s">
        <v>150</v>
      </c>
      <c r="F14" s="6" t="s">
        <v>151</v>
      </c>
      <c r="G14" s="6" t="s">
        <v>152</v>
      </c>
      <c r="H14" s="6" t="s">
        <v>153</v>
      </c>
      <c r="I14" s="6" t="s">
        <v>154</v>
      </c>
      <c r="J14" s="6" t="s">
        <v>155</v>
      </c>
    </row>
    <row r="15" ht="56" customHeight="1" spans="1:10" x14ac:dyDescent="0.25">
      <c r="A15" s="5" t="s">
        <v>156</v>
      </c>
      <c r="B15" s="5" t="s">
        <v>157</v>
      </c>
      <c r="C15" s="5" t="s">
        <v>158</v>
      </c>
      <c r="D15" s="5" t="s">
        <v>159</v>
      </c>
      <c r="E15" s="5" t="s">
        <v>160</v>
      </c>
      <c r="F15" s="5" t="s">
        <v>161</v>
      </c>
      <c r="G15" s="5" t="s">
        <v>162</v>
      </c>
      <c r="H15" s="5" t="s">
        <v>163</v>
      </c>
      <c r="I15" s="5" t="s">
        <v>94</v>
      </c>
      <c r="J15" s="5" t="s">
        <v>164</v>
      </c>
    </row>
    <row r="16" ht="56" customHeight="1" spans="1:10" x14ac:dyDescent="0.25">
      <c r="A16" s="6" t="s">
        <v>165</v>
      </c>
      <c r="B16" s="6" t="s">
        <v>166</v>
      </c>
      <c r="C16" s="6" t="s">
        <v>167</v>
      </c>
      <c r="D16" s="6" t="s">
        <v>168</v>
      </c>
      <c r="E16" s="6" t="s">
        <v>169</v>
      </c>
      <c r="F16" s="6" t="s">
        <v>168</v>
      </c>
      <c r="G16" s="6" t="s">
        <v>170</v>
      </c>
      <c r="H16" s="6" t="s">
        <v>171</v>
      </c>
      <c r="I16" s="6" t="s">
        <v>94</v>
      </c>
      <c r="J16" s="6" t="s">
        <v>172</v>
      </c>
    </row>
    <row r="17" ht="69" customHeight="1" spans="1:10" x14ac:dyDescent="0.25">
      <c r="A17" s="5" t="s">
        <v>173</v>
      </c>
      <c r="B17" s="5" t="s">
        <v>174</v>
      </c>
      <c r="C17" s="5" t="s">
        <v>175</v>
      </c>
      <c r="D17" s="5" t="s">
        <v>176</v>
      </c>
      <c r="E17" s="5" t="s">
        <v>177</v>
      </c>
      <c r="F17" s="5" t="s">
        <v>83</v>
      </c>
      <c r="G17" s="5" t="s">
        <v>178</v>
      </c>
      <c r="H17" s="5" t="s">
        <v>179</v>
      </c>
      <c r="I17" s="5" t="s">
        <v>180</v>
      </c>
      <c r="J17" s="5" t="s">
        <v>181</v>
      </c>
    </row>
    <row r="18" ht="69" customHeight="1" spans="1:10" x14ac:dyDescent="0.25">
      <c r="A18" s="6" t="s">
        <v>182</v>
      </c>
      <c r="B18" s="6" t="s">
        <v>183</v>
      </c>
      <c r="C18" s="6" t="s">
        <v>184</v>
      </c>
      <c r="D18" s="6" t="s">
        <v>185</v>
      </c>
      <c r="E18" s="6" t="s">
        <v>186</v>
      </c>
      <c r="F18" s="6" t="s">
        <v>187</v>
      </c>
      <c r="G18" s="6" t="s">
        <v>188</v>
      </c>
      <c r="H18" s="6" t="s">
        <v>189</v>
      </c>
      <c r="I18" s="6" t="s">
        <v>94</v>
      </c>
      <c r="J18" s="6" t="s">
        <v>190</v>
      </c>
    </row>
    <row r="20" spans="1:10" x14ac:dyDescent="0.25">
      <c r="A20" s="3" t="s">
        <v>191</v>
      </c>
      <c r="B20" s="3"/>
      <c r="C20" s="3"/>
      <c r="D20" s="3"/>
      <c r="E20" s="3"/>
      <c r="F20" s="3"/>
      <c r="G20" s="3"/>
      <c r="H20" s="3"/>
      <c r="I20" s="3"/>
      <c r="J20" s="3"/>
    </row>
    <row r="21" ht="30" customHeight="1" spans="1:10" x14ac:dyDescent="0.25">
      <c r="A21" s="10" t="s">
        <v>192</v>
      </c>
      <c r="B21" s="10" t="s">
        <v>193</v>
      </c>
      <c r="C21" s="10" t="s">
        <v>194</v>
      </c>
      <c r="D21" s="10" t="s">
        <v>194</v>
      </c>
      <c r="E21" s="10" t="s">
        <v>195</v>
      </c>
      <c r="F21" s="10" t="s">
        <v>194</v>
      </c>
      <c r="G21" s="10" t="s">
        <v>194</v>
      </c>
      <c r="H21" s="10" t="s">
        <v>196</v>
      </c>
      <c r="I21" s="10" t="s">
        <v>194</v>
      </c>
      <c r="J21" s="10" t="s">
        <v>194</v>
      </c>
    </row>
    <row r="22" ht="48" customHeight="1" spans="1:10" x14ac:dyDescent="0.25">
      <c r="A22" s="12" t="s">
        <v>197</v>
      </c>
      <c r="B22" s="12" t="s">
        <v>198</v>
      </c>
      <c r="C22" s="12"/>
      <c r="D22" s="12"/>
      <c r="E22" s="12" t="s">
        <v>199</v>
      </c>
      <c r="F22" s="12"/>
      <c r="G22" s="12"/>
      <c r="H22" s="12" t="s">
        <v>200</v>
      </c>
      <c r="I22" s="12"/>
      <c r="J22" s="12"/>
    </row>
    <row r="23" ht="48" customHeight="1" spans="1:10" x14ac:dyDescent="0.25">
      <c r="A23" s="4" t="s">
        <v>201</v>
      </c>
      <c r="B23" s="4" t="s">
        <v>202</v>
      </c>
      <c r="C23" s="4"/>
      <c r="D23" s="4"/>
      <c r="E23" s="4" t="s">
        <v>203</v>
      </c>
      <c r="F23" s="4"/>
      <c r="G23" s="4"/>
      <c r="H23" s="4" t="s">
        <v>204</v>
      </c>
      <c r="I23" s="4"/>
      <c r="J23" s="4"/>
    </row>
    <row r="24" ht="48" customHeight="1" spans="1:10" x14ac:dyDescent="0.25">
      <c r="A24" s="12" t="s">
        <v>205</v>
      </c>
      <c r="B24" s="12" t="s">
        <v>206</v>
      </c>
      <c r="C24" s="12"/>
      <c r="D24" s="12"/>
      <c r="E24" s="12" t="s">
        <v>207</v>
      </c>
      <c r="F24" s="12"/>
      <c r="G24" s="12"/>
      <c r="H24" s="12" t="s">
        <v>208</v>
      </c>
      <c r="I24" s="12"/>
      <c r="J24" s="12"/>
    </row>
    <row r="25" ht="48" customHeight="1" spans="1:10" x14ac:dyDescent="0.25">
      <c r="A25" s="4" t="s">
        <v>209</v>
      </c>
      <c r="B25" s="4" t="s">
        <v>210</v>
      </c>
      <c r="C25" s="4"/>
      <c r="D25" s="4"/>
      <c r="E25" s="4" t="s">
        <v>211</v>
      </c>
      <c r="F25" s="4"/>
      <c r="G25" s="4"/>
      <c r="H25" s="4" t="s">
        <v>212</v>
      </c>
      <c r="I25" s="4"/>
      <c r="J25" s="4"/>
    </row>
    <row r="26" ht="48" customHeight="1" spans="1:10" x14ac:dyDescent="0.25">
      <c r="A26" s="12" t="s">
        <v>213</v>
      </c>
      <c r="B26" s="12" t="s">
        <v>214</v>
      </c>
      <c r="C26" s="12"/>
      <c r="D26" s="12"/>
      <c r="E26" s="12" t="s">
        <v>215</v>
      </c>
      <c r="F26" s="12"/>
      <c r="G26" s="12"/>
      <c r="H26" s="12" t="s">
        <v>216</v>
      </c>
      <c r="I26" s="12"/>
      <c r="J26" s="12"/>
    </row>
    <row r="27" ht="48" customHeight="1" spans="1:10" x14ac:dyDescent="0.25">
      <c r="A27" s="4" t="s">
        <v>217</v>
      </c>
      <c r="B27" s="4" t="s">
        <v>218</v>
      </c>
      <c r="C27" s="4"/>
      <c r="D27" s="4"/>
      <c r="E27" s="4" t="s">
        <v>219</v>
      </c>
      <c r="F27" s="4"/>
      <c r="G27" s="4"/>
      <c r="H27" s="4" t="s">
        <v>220</v>
      </c>
      <c r="I27" s="4"/>
      <c r="J27" s="4"/>
    </row>
    <row r="28" ht="48" customHeight="1" spans="1:10" x14ac:dyDescent="0.25">
      <c r="A28" s="12" t="s">
        <v>221</v>
      </c>
      <c r="B28" s="12" t="s">
        <v>222</v>
      </c>
      <c r="C28" s="12"/>
      <c r="D28" s="12"/>
      <c r="E28" s="12" t="s">
        <v>223</v>
      </c>
      <c r="F28" s="12"/>
      <c r="G28" s="12"/>
      <c r="H28" s="12" t="s">
        <v>224</v>
      </c>
      <c r="I28" s="12"/>
      <c r="J28" s="12"/>
    </row>
    <row r="29" ht="48" customHeight="1" spans="1:10" x14ac:dyDescent="0.25">
      <c r="A29" s="4" t="s">
        <v>225</v>
      </c>
      <c r="B29" s="4" t="s">
        <v>226</v>
      </c>
      <c r="C29" s="4"/>
      <c r="D29" s="4"/>
      <c r="E29" s="4" t="s">
        <v>227</v>
      </c>
      <c r="F29" s="4"/>
      <c r="G29" s="4"/>
      <c r="H29" s="4" t="s">
        <v>228</v>
      </c>
      <c r="I29" s="4"/>
      <c r="J29" s="4"/>
    </row>
    <row r="30" ht="48" customHeight="1" spans="1:10" x14ac:dyDescent="0.25">
      <c r="A30" s="12" t="s">
        <v>229</v>
      </c>
      <c r="B30" s="12" t="s">
        <v>230</v>
      </c>
      <c r="C30" s="12"/>
      <c r="D30" s="12"/>
      <c r="E30" s="12" t="s">
        <v>231</v>
      </c>
      <c r="F30" s="12"/>
      <c r="G30" s="12"/>
      <c r="H30" s="12" t="s">
        <v>232</v>
      </c>
      <c r="I30" s="12"/>
      <c r="J30" s="12"/>
    </row>
  </sheetData>
  <mergeCells count="30">
    <mergeCell ref="A1:J1"/>
    <mergeCell ref="A2:J2"/>
    <mergeCell ref="A20:J20"/>
    <mergeCell ref="B22:D22"/>
    <mergeCell ref="E22:G22"/>
    <mergeCell ref="H22:J22"/>
    <mergeCell ref="B23:D23"/>
    <mergeCell ref="E23:G23"/>
    <mergeCell ref="H23:J23"/>
    <mergeCell ref="B24:D24"/>
    <mergeCell ref="E24:G24"/>
    <mergeCell ref="H24:J24"/>
    <mergeCell ref="B25:D25"/>
    <mergeCell ref="E25:G25"/>
    <mergeCell ref="H25:J25"/>
    <mergeCell ref="B26:D26"/>
    <mergeCell ref="E26:G26"/>
    <mergeCell ref="H26:J26"/>
    <mergeCell ref="B27:D27"/>
    <mergeCell ref="E27:G27"/>
    <mergeCell ref="H27:J27"/>
    <mergeCell ref="B28:D28"/>
    <mergeCell ref="E28:G28"/>
    <mergeCell ref="H28:J28"/>
    <mergeCell ref="B29:D29"/>
    <mergeCell ref="E29:G29"/>
    <mergeCell ref="H29:J29"/>
    <mergeCell ref="B30:D30"/>
    <mergeCell ref="E30:G30"/>
    <mergeCell ref="H30:J3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0" customWidth="1"/>
    <col min="3" max="3" width="52" customWidth="1"/>
    <col min="4" max="4" width="44" customWidth="1"/>
    <col min="5" max="5" width="10" customWidth="1"/>
    <col min="6" max="6" width="50" customWidth="1"/>
  </cols>
  <sheetData>
    <row r="1" spans="1:6" x14ac:dyDescent="0.25">
      <c r="A1" s="1" t="s">
        <v>233</v>
      </c>
      <c r="B1" s="1"/>
      <c r="C1" s="1"/>
      <c r="D1" s="1"/>
      <c r="E1" s="1"/>
      <c r="F1" s="1"/>
    </row>
    <row r="2" ht="30" customHeight="1" spans="1:6" x14ac:dyDescent="0.25">
      <c r="A2" s="2" t="s">
        <v>234</v>
      </c>
      <c r="B2" s="2"/>
      <c r="C2" s="2"/>
      <c r="D2" s="2"/>
      <c r="E2" s="2"/>
      <c r="F2" s="2"/>
    </row>
    <row r="4" ht="30" customHeight="1" spans="1:6" x14ac:dyDescent="0.25">
      <c r="A4" s="10" t="s">
        <v>192</v>
      </c>
      <c r="B4" s="10" t="s">
        <v>235</v>
      </c>
      <c r="C4" s="10" t="s">
        <v>236</v>
      </c>
      <c r="D4" s="10" t="s">
        <v>237</v>
      </c>
      <c r="E4" s="10" t="s">
        <v>238</v>
      </c>
      <c r="F4" s="10" t="s">
        <v>239</v>
      </c>
    </row>
    <row r="5" ht="69" customHeight="1" spans="1:6" x14ac:dyDescent="0.25">
      <c r="A5" s="5">
        <v>1</v>
      </c>
      <c r="B5" s="5" t="s">
        <v>240</v>
      </c>
      <c r="C5" s="5" t="s">
        <v>241</v>
      </c>
      <c r="D5" s="5" t="s">
        <v>242</v>
      </c>
      <c r="E5" s="13" t="s">
        <v>243</v>
      </c>
      <c r="F5" s="5" t="s">
        <v>244</v>
      </c>
    </row>
    <row r="6" ht="69" customHeight="1" spans="1:6" x14ac:dyDescent="0.25">
      <c r="A6" s="6">
        <v>2</v>
      </c>
      <c r="B6" s="6" t="s">
        <v>245</v>
      </c>
      <c r="C6" s="6" t="s">
        <v>246</v>
      </c>
      <c r="D6" s="6" t="s">
        <v>247</v>
      </c>
      <c r="E6" s="14" t="s">
        <v>243</v>
      </c>
      <c r="F6" s="6" t="s">
        <v>248</v>
      </c>
    </row>
    <row r="7" ht="82" customHeight="1" spans="1:6" x14ac:dyDescent="0.25">
      <c r="A7" s="5">
        <v>3</v>
      </c>
      <c r="B7" s="5" t="s">
        <v>249</v>
      </c>
      <c r="C7" s="5" t="s">
        <v>250</v>
      </c>
      <c r="D7" s="5" t="s">
        <v>251</v>
      </c>
      <c r="E7" s="13" t="s">
        <v>243</v>
      </c>
      <c r="F7" s="5" t="s">
        <v>252</v>
      </c>
    </row>
    <row r="8" ht="43" customHeight="1" spans="1:6" x14ac:dyDescent="0.25">
      <c r="A8" s="6">
        <v>4</v>
      </c>
      <c r="B8" s="6" t="s">
        <v>253</v>
      </c>
      <c r="C8" s="6" t="s">
        <v>254</v>
      </c>
      <c r="D8" s="6" t="s">
        <v>255</v>
      </c>
      <c r="E8" s="14" t="s">
        <v>243</v>
      </c>
      <c r="F8" s="6" t="s">
        <v>256</v>
      </c>
    </row>
    <row r="9" ht="56" customHeight="1" spans="1:6" x14ac:dyDescent="0.25">
      <c r="A9" s="5">
        <v>5</v>
      </c>
      <c r="B9" s="5" t="s">
        <v>257</v>
      </c>
      <c r="C9" s="5" t="s">
        <v>258</v>
      </c>
      <c r="D9" s="5" t="s">
        <v>259</v>
      </c>
      <c r="E9" s="13" t="s">
        <v>243</v>
      </c>
      <c r="F9" s="5" t="s">
        <v>260</v>
      </c>
    </row>
    <row r="10" ht="43" customHeight="1" spans="1:6" x14ac:dyDescent="0.25">
      <c r="A10" s="6">
        <v>6</v>
      </c>
      <c r="B10" s="6" t="s">
        <v>261</v>
      </c>
      <c r="C10" s="6" t="s">
        <v>262</v>
      </c>
      <c r="D10" s="6" t="s">
        <v>263</v>
      </c>
      <c r="E10" s="14" t="s">
        <v>243</v>
      </c>
      <c r="F10" s="6" t="s">
        <v>264</v>
      </c>
    </row>
    <row r="11" ht="43" customHeight="1" spans="1:6" x14ac:dyDescent="0.25">
      <c r="A11" s="5">
        <v>7</v>
      </c>
      <c r="B11" s="5" t="s">
        <v>265</v>
      </c>
      <c r="C11" s="5" t="s">
        <v>266</v>
      </c>
      <c r="D11" s="5" t="s">
        <v>267</v>
      </c>
      <c r="E11" s="15" t="s">
        <v>268</v>
      </c>
      <c r="F11" s="5" t="s">
        <v>269</v>
      </c>
    </row>
    <row r="12" ht="56" customHeight="1" spans="1:6" x14ac:dyDescent="0.25">
      <c r="A12" s="6">
        <v>8</v>
      </c>
      <c r="B12" s="6" t="s">
        <v>270</v>
      </c>
      <c r="C12" s="6" t="s">
        <v>271</v>
      </c>
      <c r="D12" s="6" t="s">
        <v>272</v>
      </c>
      <c r="E12" s="16" t="s">
        <v>268</v>
      </c>
      <c r="F12" s="6" t="s">
        <v>273</v>
      </c>
    </row>
    <row r="13" ht="43" customHeight="1" spans="1:6" x14ac:dyDescent="0.25">
      <c r="A13" s="5">
        <v>9</v>
      </c>
      <c r="B13" s="5" t="s">
        <v>61</v>
      </c>
      <c r="C13" s="5" t="s">
        <v>274</v>
      </c>
      <c r="D13" s="5" t="s">
        <v>275</v>
      </c>
      <c r="E13" s="15" t="s">
        <v>268</v>
      </c>
      <c r="F13" s="5" t="s">
        <v>276</v>
      </c>
    </row>
    <row r="14" ht="43" customHeight="1" spans="1:6" x14ac:dyDescent="0.25">
      <c r="A14" s="6">
        <v>10</v>
      </c>
      <c r="B14" s="6" t="s">
        <v>277</v>
      </c>
      <c r="C14" s="6" t="s">
        <v>278</v>
      </c>
      <c r="D14" s="6" t="s">
        <v>279</v>
      </c>
      <c r="E14" s="16" t="s">
        <v>268</v>
      </c>
      <c r="F14" s="6" t="s">
        <v>280</v>
      </c>
    </row>
    <row r="15" ht="56" customHeight="1" spans="1:6" x14ac:dyDescent="0.25">
      <c r="A15" s="5">
        <v>11</v>
      </c>
      <c r="B15" s="5" t="s">
        <v>281</v>
      </c>
      <c r="C15" s="5" t="s">
        <v>282</v>
      </c>
      <c r="D15" s="5" t="s">
        <v>283</v>
      </c>
      <c r="E15" s="15" t="s">
        <v>268</v>
      </c>
      <c r="F15" s="5" t="s">
        <v>284</v>
      </c>
    </row>
    <row r="16" ht="56" customHeight="1" spans="1:6" x14ac:dyDescent="0.25">
      <c r="A16" s="6">
        <v>12</v>
      </c>
      <c r="B16" s="6" t="s">
        <v>285</v>
      </c>
      <c r="C16" s="6" t="s">
        <v>286</v>
      </c>
      <c r="D16" s="6" t="s">
        <v>287</v>
      </c>
      <c r="E16" s="17" t="s">
        <v>288</v>
      </c>
      <c r="F16" s="6" t="s">
        <v>289</v>
      </c>
    </row>
    <row r="17" ht="43" customHeight="1" spans="1:6" x14ac:dyDescent="0.25">
      <c r="A17" s="5">
        <v>13</v>
      </c>
      <c r="B17" s="5" t="s">
        <v>290</v>
      </c>
      <c r="C17" s="5" t="s">
        <v>291</v>
      </c>
      <c r="D17" s="5" t="s">
        <v>292</v>
      </c>
      <c r="E17" s="18" t="s">
        <v>288</v>
      </c>
      <c r="F17" s="5" t="s">
        <v>293</v>
      </c>
    </row>
    <row r="18" ht="43" customHeight="1" spans="1:6" x14ac:dyDescent="0.25">
      <c r="A18" s="6">
        <v>14</v>
      </c>
      <c r="B18" s="6" t="s">
        <v>294</v>
      </c>
      <c r="C18" s="6" t="s">
        <v>295</v>
      </c>
      <c r="D18" s="6" t="s">
        <v>296</v>
      </c>
      <c r="E18" s="17" t="s">
        <v>288</v>
      </c>
      <c r="F18" s="6" t="s">
        <v>297</v>
      </c>
    </row>
    <row r="19" ht="30" customHeight="1" spans="1:6" x14ac:dyDescent="0.25">
      <c r="A19" s="5">
        <v>15</v>
      </c>
      <c r="B19" s="5" t="s">
        <v>298</v>
      </c>
      <c r="C19" s="5" t="s">
        <v>299</v>
      </c>
      <c r="D19" s="5" t="s">
        <v>296</v>
      </c>
      <c r="E19" s="8" t="s">
        <v>300</v>
      </c>
      <c r="F19" s="5" t="s">
        <v>301</v>
      </c>
    </row>
    <row r="20" ht="30" customHeight="1" spans="1:6" x14ac:dyDescent="0.25">
      <c r="A20" s="6">
        <v>16</v>
      </c>
      <c r="B20" s="6" t="s">
        <v>302</v>
      </c>
      <c r="C20" s="6" t="s">
        <v>303</v>
      </c>
      <c r="D20" s="6" t="s">
        <v>296</v>
      </c>
      <c r="E20" s="19" t="s">
        <v>300</v>
      </c>
      <c r="F20" s="6" t="s">
        <v>304</v>
      </c>
    </row>
  </sheetData>
  <autoFilter ref="A4:F4"/>
  <mergeCells count="2">
    <mergeCell ref="A1:F1"/>
    <mergeCell ref="A2:F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howGridLines="0">
      <pane xSplit="1" ySplit="4" topLeftCell="B5" activePane="bottomRight" state="frozen"/>
      <selection pane="bottomRight"/>
    </sheetView>
  </sheetViews>
  <sheetFormatPr defaultRowHeight="15" outlineLevelRow="0" outlineLevelCol="0" x14ac:dyDescent="55"/>
  <cols>
    <col min="1" max="1" width="7" customWidth="1"/>
    <col min="2" max="2" width="8" customWidth="1"/>
    <col min="3" max="3" width="20" customWidth="1"/>
    <col min="4" max="5" width="8" customWidth="1"/>
    <col min="6" max="6" width="40" customWidth="1"/>
    <col min="7" max="7" width="30" customWidth="1"/>
    <col min="8" max="10" width="26" customWidth="1"/>
    <col min="11" max="11" width="30" customWidth="1"/>
    <col min="12" max="12" width="12" customWidth="1"/>
    <col min="13" max="13" width="36" customWidth="1"/>
    <col min="14" max="14" width="18" customWidth="1"/>
  </cols>
  <sheetData>
    <row r="1" spans="1:14" x14ac:dyDescent="0.25">
      <c r="A1" s="1" t="s">
        <v>305</v>
      </c>
      <c r="B1" s="1"/>
      <c r="C1" s="1"/>
      <c r="D1" s="1"/>
      <c r="E1" s="1"/>
      <c r="F1" s="1"/>
      <c r="G1" s="1"/>
      <c r="H1" s="1"/>
      <c r="I1" s="1"/>
      <c r="J1" s="1"/>
      <c r="K1" s="1"/>
      <c r="L1" s="1"/>
      <c r="M1" s="1"/>
      <c r="N1" s="1"/>
    </row>
    <row r="2" ht="30" customHeight="1" spans="1:14" x14ac:dyDescent="0.25">
      <c r="A2" s="2" t="s">
        <v>306</v>
      </c>
      <c r="B2" s="2"/>
      <c r="C2" s="2"/>
      <c r="D2" s="2"/>
      <c r="E2" s="2"/>
      <c r="F2" s="2"/>
      <c r="G2" s="2"/>
      <c r="H2" s="2"/>
      <c r="I2" s="2"/>
      <c r="J2" s="2"/>
      <c r="K2" s="2"/>
      <c r="L2" s="2"/>
      <c r="M2" s="2"/>
      <c r="N2" s="2"/>
    </row>
    <row r="4" ht="30" customHeight="1" spans="1:14" x14ac:dyDescent="0.25">
      <c r="A4" s="10" t="s">
        <v>307</v>
      </c>
      <c r="B4" s="10" t="s">
        <v>308</v>
      </c>
      <c r="C4" s="10" t="s">
        <v>309</v>
      </c>
      <c r="D4" s="10" t="s">
        <v>310</v>
      </c>
      <c r="E4" s="10" t="s">
        <v>311</v>
      </c>
      <c r="F4" s="10" t="s">
        <v>312</v>
      </c>
      <c r="G4" s="10" t="s">
        <v>313</v>
      </c>
      <c r="H4" s="10" t="s">
        <v>314</v>
      </c>
      <c r="I4" s="10" t="s">
        <v>315</v>
      </c>
      <c r="J4" s="10" t="s">
        <v>316</v>
      </c>
      <c r="K4" s="10" t="s">
        <v>317</v>
      </c>
      <c r="L4" s="10" t="s">
        <v>318</v>
      </c>
      <c r="M4" s="10" t="s">
        <v>319</v>
      </c>
      <c r="N4" s="10" t="s">
        <v>320</v>
      </c>
    </row>
    <row r="5" ht="56" customHeight="1" spans="1:14" x14ac:dyDescent="0.25">
      <c r="A5" s="5" t="s">
        <v>321</v>
      </c>
      <c r="B5" s="5" t="s">
        <v>322</v>
      </c>
      <c r="C5" s="5" t="s">
        <v>323</v>
      </c>
      <c r="D5" s="5" t="s">
        <v>324</v>
      </c>
      <c r="E5" s="5" t="s">
        <v>325</v>
      </c>
      <c r="F5" s="20" t="s">
        <v>326</v>
      </c>
      <c r="G5" s="5" t="s">
        <v>327</v>
      </c>
      <c r="H5" s="5" t="s">
        <v>328</v>
      </c>
      <c r="I5" s="5" t="s">
        <v>329</v>
      </c>
      <c r="J5" s="5" t="s">
        <v>330</v>
      </c>
      <c r="K5" s="5" t="s">
        <v>331</v>
      </c>
      <c r="L5" s="5" t="s">
        <v>332</v>
      </c>
      <c r="M5" s="5" t="s">
        <v>333</v>
      </c>
      <c r="N5" s="5" t="s">
        <v>334</v>
      </c>
    </row>
    <row r="6" ht="43" customHeight="1" spans="1:14" x14ac:dyDescent="0.25">
      <c r="A6" s="5" t="s">
        <v>335</v>
      </c>
      <c r="B6" s="5" t="s">
        <v>322</v>
      </c>
      <c r="C6" s="5" t="s">
        <v>323</v>
      </c>
      <c r="D6" s="13" t="s">
        <v>325</v>
      </c>
      <c r="E6" s="5" t="s">
        <v>325</v>
      </c>
      <c r="F6" s="20" t="s">
        <v>336</v>
      </c>
      <c r="G6" s="5" t="s">
        <v>337</v>
      </c>
      <c r="H6" s="5" t="s">
        <v>338</v>
      </c>
      <c r="I6" s="5" t="s">
        <v>339</v>
      </c>
      <c r="J6" s="5" t="s">
        <v>340</v>
      </c>
      <c r="K6" s="5" t="s">
        <v>341</v>
      </c>
      <c r="L6" s="5" t="s">
        <v>332</v>
      </c>
      <c r="M6" s="5" t="s">
        <v>342</v>
      </c>
      <c r="N6" s="5" t="s">
        <v>343</v>
      </c>
    </row>
    <row r="7" ht="43" customHeight="1" spans="1:14" x14ac:dyDescent="0.25">
      <c r="A7" s="5" t="s">
        <v>344</v>
      </c>
      <c r="B7" s="5" t="s">
        <v>322</v>
      </c>
      <c r="C7" s="5" t="s">
        <v>323</v>
      </c>
      <c r="D7" s="5" t="s">
        <v>324</v>
      </c>
      <c r="E7" s="5" t="s">
        <v>324</v>
      </c>
      <c r="F7" s="20" t="s">
        <v>345</v>
      </c>
      <c r="G7" s="5" t="s">
        <v>194</v>
      </c>
      <c r="H7" s="5" t="s">
        <v>346</v>
      </c>
      <c r="I7" s="5" t="s">
        <v>347</v>
      </c>
      <c r="J7" s="5" t="s">
        <v>348</v>
      </c>
      <c r="K7" s="5" t="s">
        <v>349</v>
      </c>
      <c r="L7" s="5" t="s">
        <v>332</v>
      </c>
      <c r="M7" s="5" t="s">
        <v>350</v>
      </c>
      <c r="N7" s="5" t="s">
        <v>351</v>
      </c>
    </row>
    <row r="8" ht="43" customHeight="1" spans="1:14" x14ac:dyDescent="0.25">
      <c r="A8" s="6" t="s">
        <v>352</v>
      </c>
      <c r="B8" s="6" t="s">
        <v>322</v>
      </c>
      <c r="C8" s="6" t="s">
        <v>353</v>
      </c>
      <c r="D8" s="14" t="s">
        <v>325</v>
      </c>
      <c r="E8" s="6" t="s">
        <v>325</v>
      </c>
      <c r="F8" s="11" t="s">
        <v>354</v>
      </c>
      <c r="G8" s="6" t="s">
        <v>194</v>
      </c>
      <c r="H8" s="6" t="s">
        <v>355</v>
      </c>
      <c r="I8" s="6" t="s">
        <v>356</v>
      </c>
      <c r="J8" s="6" t="s">
        <v>357</v>
      </c>
      <c r="K8" s="6" t="s">
        <v>358</v>
      </c>
      <c r="L8" s="6" t="s">
        <v>332</v>
      </c>
      <c r="M8" s="6" t="s">
        <v>359</v>
      </c>
      <c r="N8" s="6" t="s">
        <v>360</v>
      </c>
    </row>
    <row r="9" ht="43" customHeight="1" spans="1:14" x14ac:dyDescent="0.25">
      <c r="A9" s="6" t="s">
        <v>361</v>
      </c>
      <c r="B9" s="6" t="s">
        <v>322</v>
      </c>
      <c r="C9" s="6" t="s">
        <v>353</v>
      </c>
      <c r="D9" s="6" t="s">
        <v>324</v>
      </c>
      <c r="E9" s="6" t="s">
        <v>325</v>
      </c>
      <c r="F9" s="11" t="s">
        <v>362</v>
      </c>
      <c r="G9" s="6" t="s">
        <v>194</v>
      </c>
      <c r="H9" s="6" t="s">
        <v>363</v>
      </c>
      <c r="I9" s="6" t="s">
        <v>364</v>
      </c>
      <c r="J9" s="6" t="s">
        <v>365</v>
      </c>
      <c r="K9" s="6" t="s">
        <v>366</v>
      </c>
      <c r="L9" s="6" t="s">
        <v>332</v>
      </c>
      <c r="M9" s="6" t="s">
        <v>367</v>
      </c>
      <c r="N9" s="6" t="s">
        <v>368</v>
      </c>
    </row>
    <row r="10" ht="56" customHeight="1" spans="1:14" x14ac:dyDescent="0.25">
      <c r="A10" s="6" t="s">
        <v>369</v>
      </c>
      <c r="B10" s="6" t="s">
        <v>322</v>
      </c>
      <c r="C10" s="6" t="s">
        <v>353</v>
      </c>
      <c r="D10" s="6" t="s">
        <v>324</v>
      </c>
      <c r="E10" s="6" t="s">
        <v>324</v>
      </c>
      <c r="F10" s="11" t="s">
        <v>370</v>
      </c>
      <c r="G10" s="6" t="s">
        <v>371</v>
      </c>
      <c r="H10" s="6" t="s">
        <v>372</v>
      </c>
      <c r="I10" s="6" t="s">
        <v>373</v>
      </c>
      <c r="J10" s="6" t="s">
        <v>374</v>
      </c>
      <c r="K10" s="6" t="s">
        <v>375</v>
      </c>
      <c r="L10" s="6" t="s">
        <v>332</v>
      </c>
      <c r="M10" s="6" t="s">
        <v>376</v>
      </c>
      <c r="N10" s="6" t="s">
        <v>377</v>
      </c>
    </row>
    <row r="11" ht="43" customHeight="1" spans="1:14" x14ac:dyDescent="0.25">
      <c r="A11" s="5" t="s">
        <v>378</v>
      </c>
      <c r="B11" s="5" t="s">
        <v>322</v>
      </c>
      <c r="C11" s="5" t="s">
        <v>379</v>
      </c>
      <c r="D11" s="5" t="s">
        <v>324</v>
      </c>
      <c r="E11" s="5" t="s">
        <v>325</v>
      </c>
      <c r="F11" s="20" t="s">
        <v>380</v>
      </c>
      <c r="G11" s="5" t="s">
        <v>194</v>
      </c>
      <c r="H11" s="5" t="s">
        <v>381</v>
      </c>
      <c r="I11" s="5" t="s">
        <v>382</v>
      </c>
      <c r="J11" s="5" t="s">
        <v>383</v>
      </c>
      <c r="K11" s="5" t="s">
        <v>384</v>
      </c>
      <c r="L11" s="5" t="s">
        <v>332</v>
      </c>
      <c r="M11" s="5" t="s">
        <v>385</v>
      </c>
      <c r="N11" s="5" t="s">
        <v>386</v>
      </c>
    </row>
    <row r="12" ht="43" customHeight="1" spans="1:14" x14ac:dyDescent="0.25">
      <c r="A12" s="5" t="s">
        <v>387</v>
      </c>
      <c r="B12" s="5" t="s">
        <v>322</v>
      </c>
      <c r="C12" s="5" t="s">
        <v>379</v>
      </c>
      <c r="D12" s="13" t="s">
        <v>325</v>
      </c>
      <c r="E12" s="5" t="s">
        <v>325</v>
      </c>
      <c r="F12" s="20" t="s">
        <v>388</v>
      </c>
      <c r="G12" s="5" t="s">
        <v>194</v>
      </c>
      <c r="H12" s="5" t="s">
        <v>389</v>
      </c>
      <c r="I12" s="5" t="s">
        <v>390</v>
      </c>
      <c r="J12" s="5" t="s">
        <v>391</v>
      </c>
      <c r="K12" s="5" t="s">
        <v>392</v>
      </c>
      <c r="L12" s="5" t="s">
        <v>332</v>
      </c>
      <c r="M12" s="5" t="s">
        <v>393</v>
      </c>
      <c r="N12" s="5" t="s">
        <v>394</v>
      </c>
    </row>
    <row r="13" ht="43" customHeight="1" spans="1:14" x14ac:dyDescent="0.25">
      <c r="A13" s="5" t="s">
        <v>395</v>
      </c>
      <c r="B13" s="5" t="s">
        <v>322</v>
      </c>
      <c r="C13" s="5" t="s">
        <v>379</v>
      </c>
      <c r="D13" s="5" t="s">
        <v>324</v>
      </c>
      <c r="E13" s="5" t="s">
        <v>324</v>
      </c>
      <c r="F13" s="20" t="s">
        <v>396</v>
      </c>
      <c r="G13" s="5" t="s">
        <v>194</v>
      </c>
      <c r="H13" s="5" t="s">
        <v>397</v>
      </c>
      <c r="I13" s="5" t="s">
        <v>398</v>
      </c>
      <c r="J13" s="5" t="s">
        <v>399</v>
      </c>
      <c r="K13" s="5" t="s">
        <v>400</v>
      </c>
      <c r="L13" s="5" t="s">
        <v>332</v>
      </c>
      <c r="M13" s="5" t="s">
        <v>401</v>
      </c>
      <c r="N13" s="5" t="s">
        <v>402</v>
      </c>
    </row>
    <row r="14" ht="43" customHeight="1" spans="1:14" x14ac:dyDescent="0.25">
      <c r="A14" s="6" t="s">
        <v>403</v>
      </c>
      <c r="B14" s="6" t="s">
        <v>404</v>
      </c>
      <c r="C14" s="6" t="s">
        <v>405</v>
      </c>
      <c r="D14" s="14" t="s">
        <v>325</v>
      </c>
      <c r="E14" s="6" t="s">
        <v>325</v>
      </c>
      <c r="F14" s="11" t="s">
        <v>406</v>
      </c>
      <c r="G14" s="6" t="s">
        <v>194</v>
      </c>
      <c r="H14" s="6" t="s">
        <v>407</v>
      </c>
      <c r="I14" s="6" t="s">
        <v>408</v>
      </c>
      <c r="J14" s="6" t="s">
        <v>409</v>
      </c>
      <c r="K14" s="6" t="s">
        <v>410</v>
      </c>
      <c r="L14" s="6" t="s">
        <v>332</v>
      </c>
      <c r="M14" s="6" t="s">
        <v>411</v>
      </c>
      <c r="N14" s="6" t="s">
        <v>412</v>
      </c>
    </row>
    <row r="15" ht="43" customHeight="1" spans="1:14" x14ac:dyDescent="0.25">
      <c r="A15" s="6" t="s">
        <v>413</v>
      </c>
      <c r="B15" s="6" t="s">
        <v>404</v>
      </c>
      <c r="C15" s="6" t="s">
        <v>405</v>
      </c>
      <c r="D15" s="6" t="s">
        <v>324</v>
      </c>
      <c r="E15" s="6" t="s">
        <v>325</v>
      </c>
      <c r="F15" s="11" t="s">
        <v>414</v>
      </c>
      <c r="G15" s="6" t="s">
        <v>415</v>
      </c>
      <c r="H15" s="6" t="s">
        <v>416</v>
      </c>
      <c r="I15" s="6" t="s">
        <v>417</v>
      </c>
      <c r="J15" s="6" t="s">
        <v>418</v>
      </c>
      <c r="K15" s="6" t="s">
        <v>419</v>
      </c>
      <c r="L15" s="6" t="s">
        <v>332</v>
      </c>
      <c r="M15" s="6" t="s">
        <v>420</v>
      </c>
      <c r="N15" s="6" t="s">
        <v>421</v>
      </c>
    </row>
    <row r="16" ht="56" customHeight="1" spans="1:14" x14ac:dyDescent="0.25">
      <c r="A16" s="6" t="s">
        <v>422</v>
      </c>
      <c r="B16" s="6" t="s">
        <v>404</v>
      </c>
      <c r="C16" s="6" t="s">
        <v>405</v>
      </c>
      <c r="D16" s="6" t="s">
        <v>324</v>
      </c>
      <c r="E16" s="6" t="s">
        <v>324</v>
      </c>
      <c r="F16" s="11" t="s">
        <v>423</v>
      </c>
      <c r="G16" s="6" t="s">
        <v>194</v>
      </c>
      <c r="H16" s="6" t="s">
        <v>416</v>
      </c>
      <c r="I16" s="6" t="s">
        <v>424</v>
      </c>
      <c r="J16" s="6" t="s">
        <v>425</v>
      </c>
      <c r="K16" s="6" t="s">
        <v>426</v>
      </c>
      <c r="L16" s="6" t="s">
        <v>332</v>
      </c>
      <c r="M16" s="6" t="s">
        <v>427</v>
      </c>
      <c r="N16" s="6" t="s">
        <v>428</v>
      </c>
    </row>
    <row r="17" ht="43" customHeight="1" spans="1:14" x14ac:dyDescent="0.25">
      <c r="A17" s="5" t="s">
        <v>429</v>
      </c>
      <c r="B17" s="5" t="s">
        <v>404</v>
      </c>
      <c r="C17" s="5" t="s">
        <v>430</v>
      </c>
      <c r="D17" s="13" t="s">
        <v>325</v>
      </c>
      <c r="E17" s="5" t="s">
        <v>325</v>
      </c>
      <c r="F17" s="20" t="s">
        <v>431</v>
      </c>
      <c r="G17" s="5" t="s">
        <v>194</v>
      </c>
      <c r="H17" s="5" t="s">
        <v>432</v>
      </c>
      <c r="I17" s="5" t="s">
        <v>433</v>
      </c>
      <c r="J17" s="5" t="s">
        <v>434</v>
      </c>
      <c r="K17" s="5" t="s">
        <v>435</v>
      </c>
      <c r="L17" s="5" t="s">
        <v>332</v>
      </c>
      <c r="M17" s="5" t="s">
        <v>436</v>
      </c>
      <c r="N17" s="5" t="s">
        <v>437</v>
      </c>
    </row>
    <row r="18" ht="56" customHeight="1" spans="1:14" x14ac:dyDescent="0.25">
      <c r="A18" s="5" t="s">
        <v>438</v>
      </c>
      <c r="B18" s="5" t="s">
        <v>404</v>
      </c>
      <c r="C18" s="5" t="s">
        <v>430</v>
      </c>
      <c r="D18" s="5" t="s">
        <v>324</v>
      </c>
      <c r="E18" s="5" t="s">
        <v>325</v>
      </c>
      <c r="F18" s="20" t="s">
        <v>439</v>
      </c>
      <c r="G18" s="5" t="s">
        <v>440</v>
      </c>
      <c r="H18" s="5" t="s">
        <v>441</v>
      </c>
      <c r="I18" s="5" t="s">
        <v>442</v>
      </c>
      <c r="J18" s="5" t="s">
        <v>443</v>
      </c>
      <c r="K18" s="5" t="s">
        <v>444</v>
      </c>
      <c r="L18" s="5" t="s">
        <v>332</v>
      </c>
      <c r="M18" s="5" t="s">
        <v>445</v>
      </c>
      <c r="N18" s="5" t="s">
        <v>446</v>
      </c>
    </row>
    <row r="19" ht="43" customHeight="1" spans="1:14" x14ac:dyDescent="0.25">
      <c r="A19" s="5" t="s">
        <v>447</v>
      </c>
      <c r="B19" s="5" t="s">
        <v>404</v>
      </c>
      <c r="C19" s="5" t="s">
        <v>430</v>
      </c>
      <c r="D19" s="5" t="s">
        <v>324</v>
      </c>
      <c r="E19" s="5" t="s">
        <v>324</v>
      </c>
      <c r="F19" s="20" t="s">
        <v>448</v>
      </c>
      <c r="G19" s="5" t="s">
        <v>194</v>
      </c>
      <c r="H19" s="5" t="s">
        <v>449</v>
      </c>
      <c r="I19" s="5" t="s">
        <v>450</v>
      </c>
      <c r="J19" s="5" t="s">
        <v>451</v>
      </c>
      <c r="K19" s="5" t="s">
        <v>452</v>
      </c>
      <c r="L19" s="5" t="s">
        <v>332</v>
      </c>
      <c r="M19" s="5" t="s">
        <v>453</v>
      </c>
      <c r="N19" s="5" t="s">
        <v>454</v>
      </c>
    </row>
    <row r="20" ht="56" customHeight="1" spans="1:14" x14ac:dyDescent="0.25">
      <c r="A20" s="6" t="s">
        <v>455</v>
      </c>
      <c r="B20" s="6" t="s">
        <v>404</v>
      </c>
      <c r="C20" s="6" t="s">
        <v>456</v>
      </c>
      <c r="D20" s="6" t="s">
        <v>324</v>
      </c>
      <c r="E20" s="6" t="s">
        <v>325</v>
      </c>
      <c r="F20" s="11" t="s">
        <v>457</v>
      </c>
      <c r="G20" s="6" t="s">
        <v>194</v>
      </c>
      <c r="H20" s="6" t="s">
        <v>458</v>
      </c>
      <c r="I20" s="6" t="s">
        <v>459</v>
      </c>
      <c r="J20" s="6" t="s">
        <v>460</v>
      </c>
      <c r="K20" s="6" t="s">
        <v>461</v>
      </c>
      <c r="L20" s="6" t="s">
        <v>332</v>
      </c>
      <c r="M20" s="6" t="s">
        <v>462</v>
      </c>
      <c r="N20" s="6" t="s">
        <v>463</v>
      </c>
    </row>
    <row r="21" ht="43" customHeight="1" spans="1:14" x14ac:dyDescent="0.25">
      <c r="A21" s="6" t="s">
        <v>464</v>
      </c>
      <c r="B21" s="6" t="s">
        <v>404</v>
      </c>
      <c r="C21" s="6" t="s">
        <v>456</v>
      </c>
      <c r="D21" s="14" t="s">
        <v>325</v>
      </c>
      <c r="E21" s="6" t="s">
        <v>325</v>
      </c>
      <c r="F21" s="11" t="s">
        <v>465</v>
      </c>
      <c r="G21" s="6" t="s">
        <v>194</v>
      </c>
      <c r="H21" s="6" t="s">
        <v>466</v>
      </c>
      <c r="I21" s="6" t="s">
        <v>467</v>
      </c>
      <c r="J21" s="6" t="s">
        <v>468</v>
      </c>
      <c r="K21" s="6" t="s">
        <v>469</v>
      </c>
      <c r="L21" s="6" t="s">
        <v>332</v>
      </c>
      <c r="M21" s="6" t="s">
        <v>470</v>
      </c>
      <c r="N21" s="6" t="s">
        <v>471</v>
      </c>
    </row>
    <row r="22" ht="43" customHeight="1" spans="1:14" x14ac:dyDescent="0.25">
      <c r="A22" s="6" t="s">
        <v>472</v>
      </c>
      <c r="B22" s="6" t="s">
        <v>404</v>
      </c>
      <c r="C22" s="6" t="s">
        <v>456</v>
      </c>
      <c r="D22" s="6" t="s">
        <v>324</v>
      </c>
      <c r="E22" s="6" t="s">
        <v>324</v>
      </c>
      <c r="F22" s="11" t="s">
        <v>473</v>
      </c>
      <c r="G22" s="6" t="s">
        <v>194</v>
      </c>
      <c r="H22" s="6" t="s">
        <v>474</v>
      </c>
      <c r="I22" s="6" t="s">
        <v>475</v>
      </c>
      <c r="J22" s="6" t="s">
        <v>476</v>
      </c>
      <c r="K22" s="6" t="s">
        <v>477</v>
      </c>
      <c r="L22" s="6" t="s">
        <v>332</v>
      </c>
      <c r="M22" s="6" t="s">
        <v>478</v>
      </c>
      <c r="N22" s="6" t="s">
        <v>479</v>
      </c>
    </row>
    <row r="24" spans="1:14" x14ac:dyDescent="0.25">
      <c r="A24" s="3" t="s">
        <v>480</v>
      </c>
      <c r="B24" s="3"/>
      <c r="C24" s="3"/>
      <c r="D24" s="3"/>
      <c r="E24" s="3"/>
      <c r="F24" s="3"/>
      <c r="G24" s="3"/>
      <c r="H24" s="3"/>
      <c r="I24" s="3"/>
      <c r="J24" s="3"/>
      <c r="K24" s="3"/>
      <c r="L24" s="3"/>
      <c r="M24" s="3"/>
      <c r="N24" s="3"/>
    </row>
    <row r="25" ht="43" customHeight="1" spans="1:6" x14ac:dyDescent="0.25">
      <c r="A25" s="5" t="s">
        <v>322</v>
      </c>
      <c r="B25" s="5" t="s">
        <v>194</v>
      </c>
      <c r="C25" s="5" t="s">
        <v>323</v>
      </c>
      <c r="D25" s="5" t="s">
        <v>194</v>
      </c>
      <c r="E25" s="5" t="s">
        <v>194</v>
      </c>
      <c r="F25" s="5" t="s">
        <v>481</v>
      </c>
    </row>
    <row r="26" ht="30" customHeight="1" spans="1:6" x14ac:dyDescent="0.25">
      <c r="A26" s="6" t="s">
        <v>322</v>
      </c>
      <c r="B26" s="6" t="s">
        <v>194</v>
      </c>
      <c r="C26" s="6" t="s">
        <v>353</v>
      </c>
      <c r="D26" s="6" t="s">
        <v>194</v>
      </c>
      <c r="E26" s="6" t="s">
        <v>194</v>
      </c>
      <c r="F26" s="6" t="s">
        <v>482</v>
      </c>
    </row>
    <row r="27" ht="43" customHeight="1" spans="1:6" x14ac:dyDescent="0.25">
      <c r="A27" s="5" t="s">
        <v>322</v>
      </c>
      <c r="B27" s="5" t="s">
        <v>194</v>
      </c>
      <c r="C27" s="5" t="s">
        <v>379</v>
      </c>
      <c r="D27" s="5" t="s">
        <v>194</v>
      </c>
      <c r="E27" s="5" t="s">
        <v>194</v>
      </c>
      <c r="F27" s="5" t="s">
        <v>483</v>
      </c>
    </row>
    <row r="28" ht="30" customHeight="1" spans="1:6" x14ac:dyDescent="0.25">
      <c r="A28" s="6" t="s">
        <v>404</v>
      </c>
      <c r="B28" s="6" t="s">
        <v>194</v>
      </c>
      <c r="C28" s="6" t="s">
        <v>405</v>
      </c>
      <c r="D28" s="6" t="s">
        <v>194</v>
      </c>
      <c r="E28" s="6" t="s">
        <v>194</v>
      </c>
      <c r="F28" s="6" t="s">
        <v>484</v>
      </c>
    </row>
    <row r="29" ht="30" customHeight="1" spans="1:6" x14ac:dyDescent="0.25">
      <c r="A29" s="5" t="s">
        <v>404</v>
      </c>
      <c r="B29" s="5" t="s">
        <v>194</v>
      </c>
      <c r="C29" s="5" t="s">
        <v>430</v>
      </c>
      <c r="D29" s="5" t="s">
        <v>194</v>
      </c>
      <c r="E29" s="5" t="s">
        <v>194</v>
      </c>
      <c r="F29" s="5" t="s">
        <v>485</v>
      </c>
    </row>
    <row r="30" ht="43" customHeight="1" spans="1:6" x14ac:dyDescent="0.25">
      <c r="A30" s="6" t="s">
        <v>404</v>
      </c>
      <c r="B30" s="6" t="s">
        <v>194</v>
      </c>
      <c r="C30" s="6" t="s">
        <v>456</v>
      </c>
      <c r="D30" s="6" t="s">
        <v>194</v>
      </c>
      <c r="E30" s="6" t="s">
        <v>194</v>
      </c>
      <c r="F30" s="6" t="s">
        <v>486</v>
      </c>
    </row>
  </sheetData>
  <autoFilter ref="A4:N4"/>
  <mergeCells count="3">
    <mergeCell ref="A1:N1"/>
    <mergeCell ref="A2:N2"/>
    <mergeCell ref="A24:N2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howGridLines="0">
      <pane ySplit="4" topLeftCell="A5" activePane="bottomLeft" state="frozen"/>
      <selection pane="bottomLeft"/>
    </sheetView>
  </sheetViews>
  <sheetFormatPr defaultRowHeight="15" outlineLevelRow="0" outlineLevelCol="0" x14ac:dyDescent="55"/>
  <cols>
    <col min="1" max="1" width="7" customWidth="1"/>
    <col min="2" max="2" width="14" customWidth="1"/>
    <col min="3" max="3" width="34" customWidth="1"/>
    <col min="4" max="4" width="40" customWidth="1"/>
    <col min="5" max="5" width="38" customWidth="1"/>
    <col min="6" max="6" width="30" customWidth="1"/>
    <col min="7" max="7" width="34" customWidth="1"/>
  </cols>
  <sheetData>
    <row r="1" spans="1:7" x14ac:dyDescent="0.25">
      <c r="A1" s="1" t="s">
        <v>487</v>
      </c>
      <c r="B1" s="1"/>
      <c r="C1" s="1"/>
      <c r="D1" s="1"/>
      <c r="E1" s="1"/>
      <c r="F1" s="1"/>
      <c r="G1" s="1"/>
    </row>
    <row r="2" ht="30" customHeight="1" spans="1:7" x14ac:dyDescent="0.25">
      <c r="A2" s="2" t="s">
        <v>488</v>
      </c>
      <c r="B2" s="2"/>
      <c r="C2" s="2"/>
      <c r="D2" s="2"/>
      <c r="E2" s="2"/>
      <c r="F2" s="2"/>
      <c r="G2" s="2"/>
    </row>
    <row r="4" ht="30" customHeight="1" spans="1:7" x14ac:dyDescent="0.25">
      <c r="A4" s="10" t="s">
        <v>307</v>
      </c>
      <c r="B4" s="10" t="s">
        <v>489</v>
      </c>
      <c r="C4" s="10" t="s">
        <v>312</v>
      </c>
      <c r="D4" s="10" t="s">
        <v>490</v>
      </c>
      <c r="E4" s="10" t="s">
        <v>491</v>
      </c>
      <c r="F4" s="10" t="s">
        <v>492</v>
      </c>
      <c r="G4" s="10" t="s">
        <v>493</v>
      </c>
    </row>
    <row r="5" ht="43" customHeight="1" spans="1:7" x14ac:dyDescent="0.25">
      <c r="A5" s="5" t="s">
        <v>494</v>
      </c>
      <c r="B5" s="5" t="s">
        <v>495</v>
      </c>
      <c r="C5" s="20" t="s">
        <v>496</v>
      </c>
      <c r="D5" s="5" t="s">
        <v>497</v>
      </c>
      <c r="E5" s="5" t="s">
        <v>498</v>
      </c>
      <c r="F5" s="5" t="s">
        <v>499</v>
      </c>
      <c r="G5" s="5" t="s">
        <v>500</v>
      </c>
    </row>
    <row r="6" ht="56" customHeight="1" spans="1:7" x14ac:dyDescent="0.25">
      <c r="A6" s="5" t="s">
        <v>494</v>
      </c>
      <c r="B6" s="5" t="s">
        <v>194</v>
      </c>
      <c r="C6" s="5" t="s">
        <v>194</v>
      </c>
      <c r="D6" s="5" t="s">
        <v>501</v>
      </c>
      <c r="E6" s="5" t="s">
        <v>502</v>
      </c>
      <c r="F6" s="5" t="s">
        <v>503</v>
      </c>
      <c r="G6" s="5" t="s">
        <v>504</v>
      </c>
    </row>
    <row r="7" ht="30" customHeight="1" spans="1:7" x14ac:dyDescent="0.25">
      <c r="A7" s="5" t="s">
        <v>494</v>
      </c>
      <c r="B7" s="5" t="s">
        <v>194</v>
      </c>
      <c r="C7" s="5" t="s">
        <v>194</v>
      </c>
      <c r="D7" s="5" t="s">
        <v>505</v>
      </c>
      <c r="E7" s="5" t="s">
        <v>506</v>
      </c>
      <c r="F7" s="5" t="s">
        <v>507</v>
      </c>
      <c r="G7" s="5" t="s">
        <v>508</v>
      </c>
    </row>
    <row r="8" ht="43" customHeight="1" spans="1:7" x14ac:dyDescent="0.25">
      <c r="A8" s="5" t="s">
        <v>494</v>
      </c>
      <c r="B8" s="5" t="s">
        <v>194</v>
      </c>
      <c r="C8" s="5" t="s">
        <v>194</v>
      </c>
      <c r="D8" s="5" t="s">
        <v>509</v>
      </c>
      <c r="E8" s="5" t="s">
        <v>510</v>
      </c>
      <c r="F8" s="5" t="s">
        <v>499</v>
      </c>
      <c r="G8" s="5" t="s">
        <v>511</v>
      </c>
    </row>
    <row r="9" ht="56" customHeight="1" spans="1:7" x14ac:dyDescent="0.25">
      <c r="A9" s="5" t="s">
        <v>494</v>
      </c>
      <c r="B9" s="5" t="s">
        <v>194</v>
      </c>
      <c r="C9" s="5" t="s">
        <v>194</v>
      </c>
      <c r="D9" s="5" t="s">
        <v>512</v>
      </c>
      <c r="E9" s="5" t="s">
        <v>513</v>
      </c>
      <c r="F9" s="5" t="s">
        <v>514</v>
      </c>
      <c r="G9" s="5" t="s">
        <v>515</v>
      </c>
    </row>
    <row r="10" ht="30" customHeight="1" spans="1:7" x14ac:dyDescent="0.25">
      <c r="A10" s="5" t="s">
        <v>494</v>
      </c>
      <c r="B10" s="5" t="s">
        <v>194</v>
      </c>
      <c r="C10" s="5" t="s">
        <v>194</v>
      </c>
      <c r="D10" s="5" t="s">
        <v>516</v>
      </c>
      <c r="E10" s="5" t="s">
        <v>517</v>
      </c>
      <c r="F10" s="5" t="s">
        <v>518</v>
      </c>
      <c r="G10" s="5" t="s">
        <v>519</v>
      </c>
    </row>
    <row r="11" ht="30" customHeight="1" spans="1:7" x14ac:dyDescent="0.25">
      <c r="A11" s="5" t="s">
        <v>494</v>
      </c>
      <c r="B11" s="5" t="s">
        <v>194</v>
      </c>
      <c r="C11" s="5" t="s">
        <v>194</v>
      </c>
      <c r="D11" s="5" t="s">
        <v>520</v>
      </c>
      <c r="E11" s="5" t="s">
        <v>521</v>
      </c>
      <c r="F11" s="5" t="s">
        <v>522</v>
      </c>
      <c r="G11" s="5" t="s">
        <v>523</v>
      </c>
    </row>
    <row r="12" ht="30" customHeight="1" spans="1:7" x14ac:dyDescent="0.25">
      <c r="A12" s="5" t="s">
        <v>494</v>
      </c>
      <c r="B12" s="5" t="s">
        <v>194</v>
      </c>
      <c r="C12" s="5" t="s">
        <v>194</v>
      </c>
      <c r="D12" s="5" t="s">
        <v>524</v>
      </c>
      <c r="E12" s="5" t="s">
        <v>525</v>
      </c>
      <c r="F12" s="5" t="s">
        <v>526</v>
      </c>
      <c r="G12" s="5" t="s">
        <v>527</v>
      </c>
    </row>
    <row r="13" ht="30" customHeight="1" spans="1:7" x14ac:dyDescent="0.25">
      <c r="A13" s="6" t="s">
        <v>528</v>
      </c>
      <c r="B13" s="6" t="s">
        <v>529</v>
      </c>
      <c r="C13" s="11" t="s">
        <v>530</v>
      </c>
      <c r="D13" s="6" t="s">
        <v>531</v>
      </c>
      <c r="E13" s="6" t="s">
        <v>296</v>
      </c>
      <c r="F13" s="6" t="s">
        <v>532</v>
      </c>
      <c r="G13" s="6" t="s">
        <v>533</v>
      </c>
    </row>
    <row r="14" ht="30" customHeight="1" spans="1:7" x14ac:dyDescent="0.25">
      <c r="A14" s="6" t="s">
        <v>528</v>
      </c>
      <c r="B14" s="6" t="s">
        <v>194</v>
      </c>
      <c r="C14" s="6" t="s">
        <v>194</v>
      </c>
      <c r="D14" s="6" t="s">
        <v>534</v>
      </c>
      <c r="E14" s="6" t="s">
        <v>296</v>
      </c>
      <c r="F14" s="6" t="s">
        <v>526</v>
      </c>
      <c r="G14" s="6" t="s">
        <v>535</v>
      </c>
    </row>
    <row r="15" ht="17" customHeight="1" spans="1:7" x14ac:dyDescent="0.25">
      <c r="A15" s="6" t="s">
        <v>528</v>
      </c>
      <c r="B15" s="6" t="s">
        <v>194</v>
      </c>
      <c r="C15" s="6" t="s">
        <v>194</v>
      </c>
      <c r="D15" s="6" t="s">
        <v>536</v>
      </c>
      <c r="E15" s="6" t="s">
        <v>296</v>
      </c>
      <c r="F15" s="6" t="s">
        <v>514</v>
      </c>
      <c r="G15" s="6" t="s">
        <v>537</v>
      </c>
    </row>
    <row r="16" ht="30" customHeight="1" spans="1:7" x14ac:dyDescent="0.25">
      <c r="A16" s="6" t="s">
        <v>528</v>
      </c>
      <c r="B16" s="6" t="s">
        <v>194</v>
      </c>
      <c r="C16" s="6" t="s">
        <v>194</v>
      </c>
      <c r="D16" s="6" t="s">
        <v>538</v>
      </c>
      <c r="E16" s="6" t="s">
        <v>296</v>
      </c>
      <c r="F16" s="6" t="s">
        <v>539</v>
      </c>
      <c r="G16" s="6" t="s">
        <v>540</v>
      </c>
    </row>
    <row r="17" ht="43" customHeight="1" spans="1:7" x14ac:dyDescent="0.25">
      <c r="A17" s="6" t="s">
        <v>528</v>
      </c>
      <c r="B17" s="6" t="s">
        <v>194</v>
      </c>
      <c r="C17" s="6" t="s">
        <v>194</v>
      </c>
      <c r="D17" s="6" t="s">
        <v>541</v>
      </c>
      <c r="E17" s="6" t="s">
        <v>296</v>
      </c>
      <c r="F17" s="6" t="s">
        <v>542</v>
      </c>
      <c r="G17" s="6" t="s">
        <v>543</v>
      </c>
    </row>
    <row r="18" ht="30" customHeight="1" spans="1:7" x14ac:dyDescent="0.25">
      <c r="A18" s="6" t="s">
        <v>528</v>
      </c>
      <c r="B18" s="6" t="s">
        <v>194</v>
      </c>
      <c r="C18" s="6" t="s">
        <v>194</v>
      </c>
      <c r="D18" s="6" t="s">
        <v>544</v>
      </c>
      <c r="E18" s="6" t="s">
        <v>296</v>
      </c>
      <c r="F18" s="6" t="s">
        <v>545</v>
      </c>
      <c r="G18" s="6" t="s">
        <v>546</v>
      </c>
    </row>
    <row r="19" ht="43" customHeight="1" spans="1:7" x14ac:dyDescent="0.25">
      <c r="A19" s="6" t="s">
        <v>528</v>
      </c>
      <c r="B19" s="6" t="s">
        <v>194</v>
      </c>
      <c r="C19" s="6" t="s">
        <v>194</v>
      </c>
      <c r="D19" s="6" t="s">
        <v>547</v>
      </c>
      <c r="E19" s="6" t="s">
        <v>548</v>
      </c>
      <c r="F19" s="6" t="s">
        <v>549</v>
      </c>
      <c r="G19" s="6" t="s">
        <v>550</v>
      </c>
    </row>
    <row r="20" ht="17" customHeight="1" spans="1:7" x14ac:dyDescent="0.25">
      <c r="A20" s="6" t="s">
        <v>528</v>
      </c>
      <c r="B20" s="6" t="s">
        <v>194</v>
      </c>
      <c r="C20" s="6" t="s">
        <v>194</v>
      </c>
      <c r="D20" s="6" t="s">
        <v>551</v>
      </c>
      <c r="E20" s="6" t="s">
        <v>296</v>
      </c>
      <c r="F20" s="6" t="s">
        <v>552</v>
      </c>
      <c r="G20" s="6" t="s">
        <v>553</v>
      </c>
    </row>
    <row r="21" ht="43" customHeight="1" spans="1:7" x14ac:dyDescent="0.25">
      <c r="A21" s="5" t="s">
        <v>554</v>
      </c>
      <c r="B21" s="5" t="s">
        <v>555</v>
      </c>
      <c r="C21" s="20" t="s">
        <v>556</v>
      </c>
      <c r="D21" s="5" t="s">
        <v>557</v>
      </c>
      <c r="E21" s="5" t="s">
        <v>558</v>
      </c>
      <c r="F21" s="5" t="s">
        <v>559</v>
      </c>
      <c r="G21" s="5" t="s">
        <v>560</v>
      </c>
    </row>
    <row r="22" ht="56" customHeight="1" spans="1:7" x14ac:dyDescent="0.25">
      <c r="A22" s="5" t="s">
        <v>554</v>
      </c>
      <c r="B22" s="5" t="s">
        <v>194</v>
      </c>
      <c r="C22" s="5" t="s">
        <v>194</v>
      </c>
      <c r="D22" s="5" t="s">
        <v>561</v>
      </c>
      <c r="E22" s="5" t="s">
        <v>562</v>
      </c>
      <c r="F22" s="5" t="s">
        <v>559</v>
      </c>
      <c r="G22" s="5" t="s">
        <v>563</v>
      </c>
    </row>
    <row r="23" ht="30" customHeight="1" spans="1:7" x14ac:dyDescent="0.25">
      <c r="A23" s="5" t="s">
        <v>554</v>
      </c>
      <c r="B23" s="5" t="s">
        <v>194</v>
      </c>
      <c r="C23" s="5" t="s">
        <v>194</v>
      </c>
      <c r="D23" s="5" t="s">
        <v>564</v>
      </c>
      <c r="E23" s="5" t="s">
        <v>565</v>
      </c>
      <c r="F23" s="5" t="s">
        <v>559</v>
      </c>
      <c r="G23" s="5" t="s">
        <v>566</v>
      </c>
    </row>
    <row r="24" ht="30" customHeight="1" spans="1:7" x14ac:dyDescent="0.25">
      <c r="A24" s="5" t="s">
        <v>554</v>
      </c>
      <c r="B24" s="5" t="s">
        <v>194</v>
      </c>
      <c r="C24" s="5" t="s">
        <v>194</v>
      </c>
      <c r="D24" s="5" t="s">
        <v>567</v>
      </c>
      <c r="E24" s="5" t="s">
        <v>568</v>
      </c>
      <c r="F24" s="5" t="s">
        <v>559</v>
      </c>
      <c r="G24" s="5" t="s">
        <v>569</v>
      </c>
    </row>
    <row r="25" ht="30" customHeight="1" spans="1:7" x14ac:dyDescent="0.25">
      <c r="A25" s="5" t="s">
        <v>554</v>
      </c>
      <c r="B25" s="5" t="s">
        <v>194</v>
      </c>
      <c r="C25" s="5" t="s">
        <v>194</v>
      </c>
      <c r="D25" s="5" t="s">
        <v>570</v>
      </c>
      <c r="E25" s="5" t="s">
        <v>571</v>
      </c>
      <c r="F25" s="5" t="s">
        <v>559</v>
      </c>
      <c r="G25" s="5" t="s">
        <v>572</v>
      </c>
    </row>
    <row r="26" ht="17" customHeight="1" spans="1:7" x14ac:dyDescent="0.25">
      <c r="A26" s="5" t="s">
        <v>554</v>
      </c>
      <c r="B26" s="5" t="s">
        <v>194</v>
      </c>
      <c r="C26" s="5" t="s">
        <v>194</v>
      </c>
      <c r="D26" s="5" t="s">
        <v>573</v>
      </c>
      <c r="E26" s="5" t="s">
        <v>574</v>
      </c>
      <c r="F26" s="5" t="s">
        <v>575</v>
      </c>
      <c r="G26" s="5" t="s">
        <v>572</v>
      </c>
    </row>
    <row r="27" ht="30" customHeight="1" spans="1:7" x14ac:dyDescent="0.25">
      <c r="A27" s="5" t="s">
        <v>554</v>
      </c>
      <c r="B27" s="5" t="s">
        <v>194</v>
      </c>
      <c r="C27" s="5" t="s">
        <v>194</v>
      </c>
      <c r="D27" s="5" t="s">
        <v>576</v>
      </c>
      <c r="E27" s="5" t="s">
        <v>577</v>
      </c>
      <c r="F27" s="5" t="s">
        <v>575</v>
      </c>
      <c r="G27" s="5" t="s">
        <v>572</v>
      </c>
    </row>
    <row r="28" ht="30" customHeight="1" spans="1:7" x14ac:dyDescent="0.25">
      <c r="A28" s="5" t="s">
        <v>554</v>
      </c>
      <c r="B28" s="5" t="s">
        <v>194</v>
      </c>
      <c r="C28" s="5" t="s">
        <v>194</v>
      </c>
      <c r="D28" s="5" t="s">
        <v>578</v>
      </c>
      <c r="E28" s="5" t="s">
        <v>579</v>
      </c>
      <c r="F28" s="5" t="s">
        <v>559</v>
      </c>
      <c r="G28" s="5" t="s">
        <v>580</v>
      </c>
    </row>
    <row r="29" ht="17" customHeight="1" spans="1:7" x14ac:dyDescent="0.25">
      <c r="A29" s="5" t="s">
        <v>554</v>
      </c>
      <c r="B29" s="5" t="s">
        <v>194</v>
      </c>
      <c r="C29" s="5" t="s">
        <v>194</v>
      </c>
      <c r="D29" s="5" t="s">
        <v>581</v>
      </c>
      <c r="E29" s="5" t="s">
        <v>582</v>
      </c>
      <c r="F29" s="5" t="s">
        <v>575</v>
      </c>
      <c r="G29" s="5" t="s">
        <v>572</v>
      </c>
    </row>
    <row r="30" ht="17" customHeight="1" spans="1:7" x14ac:dyDescent="0.25">
      <c r="A30" s="5" t="s">
        <v>554</v>
      </c>
      <c r="B30" s="5" t="s">
        <v>194</v>
      </c>
      <c r="C30" s="5" t="s">
        <v>194</v>
      </c>
      <c r="D30" s="5" t="s">
        <v>551</v>
      </c>
      <c r="E30" s="5" t="s">
        <v>296</v>
      </c>
      <c r="F30" s="5" t="s">
        <v>296</v>
      </c>
      <c r="G30" s="5" t="s">
        <v>583</v>
      </c>
    </row>
    <row r="31" ht="30" customHeight="1" spans="1:7" x14ac:dyDescent="0.25">
      <c r="A31" s="6" t="s">
        <v>584</v>
      </c>
      <c r="B31" s="6" t="s">
        <v>585</v>
      </c>
      <c r="C31" s="11" t="s">
        <v>586</v>
      </c>
      <c r="D31" s="6" t="s">
        <v>587</v>
      </c>
      <c r="E31" s="6" t="s">
        <v>296</v>
      </c>
      <c r="F31" s="6" t="s">
        <v>588</v>
      </c>
      <c r="G31" s="6" t="s">
        <v>589</v>
      </c>
    </row>
    <row r="32" ht="30" customHeight="1" spans="1:7" x14ac:dyDescent="0.25">
      <c r="A32" s="6" t="s">
        <v>584</v>
      </c>
      <c r="B32" s="6" t="s">
        <v>194</v>
      </c>
      <c r="C32" s="6" t="s">
        <v>194</v>
      </c>
      <c r="D32" s="6" t="s">
        <v>590</v>
      </c>
      <c r="E32" s="6" t="s">
        <v>296</v>
      </c>
      <c r="F32" s="6" t="s">
        <v>588</v>
      </c>
      <c r="G32" s="6" t="s">
        <v>591</v>
      </c>
    </row>
    <row r="33" ht="17" customHeight="1" spans="1:7" x14ac:dyDescent="0.25">
      <c r="A33" s="6" t="s">
        <v>584</v>
      </c>
      <c r="B33" s="6" t="s">
        <v>194</v>
      </c>
      <c r="C33" s="6" t="s">
        <v>194</v>
      </c>
      <c r="D33" s="6" t="s">
        <v>592</v>
      </c>
      <c r="E33" s="6" t="s">
        <v>296</v>
      </c>
      <c r="F33" s="6" t="s">
        <v>588</v>
      </c>
      <c r="G33" s="6" t="s">
        <v>593</v>
      </c>
    </row>
    <row r="34" ht="17" customHeight="1" spans="1:7" x14ac:dyDescent="0.25">
      <c r="A34" s="6" t="s">
        <v>584</v>
      </c>
      <c r="B34" s="6" t="s">
        <v>194</v>
      </c>
      <c r="C34" s="6" t="s">
        <v>194</v>
      </c>
      <c r="D34" s="6" t="s">
        <v>594</v>
      </c>
      <c r="E34" s="6" t="s">
        <v>296</v>
      </c>
      <c r="F34" s="6" t="s">
        <v>588</v>
      </c>
      <c r="G34" s="6" t="s">
        <v>595</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howGridLines="0">
      <pane topLeftCell="A1" activePane="bottomLeft" state="frozen"/>
      <selection pane="bottomLeft"/>
    </sheetView>
  </sheetViews>
  <sheetFormatPr defaultRowHeight="15" outlineLevelRow="0" outlineLevelCol="0" x14ac:dyDescent="55"/>
  <cols>
    <col min="1" max="1" width="30" customWidth="1"/>
    <col min="2" max="2" width="10" customWidth="1"/>
    <col min="3" max="3" width="28" customWidth="1"/>
    <col min="4" max="5" width="11" customWidth="1"/>
    <col min="6" max="6" width="14" customWidth="1"/>
    <col min="7" max="7" width="12" customWidth="1"/>
    <col min="8" max="8" width="11" customWidth="1"/>
    <col min="9" max="9" width="12" customWidth="1"/>
    <col min="10" max="10" width="11" customWidth="1"/>
    <col min="11" max="11" width="4" customWidth="1"/>
  </cols>
  <sheetData>
    <row r="1" spans="1:10" x14ac:dyDescent="0.25">
      <c r="A1" s="1" t="s">
        <v>596</v>
      </c>
      <c r="B1" s="1"/>
      <c r="C1" s="1"/>
      <c r="D1" s="1"/>
      <c r="E1" s="1"/>
      <c r="F1" s="1"/>
      <c r="G1" s="1"/>
      <c r="H1" s="1"/>
      <c r="I1" s="1"/>
      <c r="J1" s="1"/>
    </row>
    <row r="2" ht="30" customHeight="1" spans="1:10" x14ac:dyDescent="0.25">
      <c r="A2" s="2" t="s">
        <v>597</v>
      </c>
      <c r="B2" s="2"/>
      <c r="C2" s="2"/>
      <c r="D2" s="2"/>
      <c r="E2" s="2"/>
      <c r="F2" s="2"/>
      <c r="G2" s="2"/>
      <c r="H2" s="2"/>
      <c r="I2" s="2"/>
      <c r="J2" s="2"/>
    </row>
    <row r="3" spans="1:10" x14ac:dyDescent="0.25">
      <c r="A3" s="3" t="s">
        <v>598</v>
      </c>
      <c r="B3" s="3"/>
      <c r="C3" s="3"/>
      <c r="D3" s="3"/>
      <c r="E3" s="3"/>
      <c r="F3" s="3"/>
      <c r="G3" s="3"/>
      <c r="H3" s="3"/>
      <c r="I3" s="3"/>
      <c r="J3" s="3"/>
    </row>
    <row r="4" spans="1:7" x14ac:dyDescent="0.25">
      <c r="A4" s="21" t="s">
        <v>599</v>
      </c>
      <c r="B4" s="22">
        <v>0.5</v>
      </c>
      <c r="C4" s="23" t="s">
        <v>600</v>
      </c>
      <c r="D4" s="23"/>
      <c r="E4" s="23"/>
      <c r="F4" s="23"/>
      <c r="G4" s="23"/>
    </row>
    <row r="5" spans="1:7" x14ac:dyDescent="0.25">
      <c r="A5" s="21" t="s">
        <v>601</v>
      </c>
      <c r="B5" s="24">
        <v>1</v>
      </c>
      <c r="C5" s="23" t="s">
        <v>602</v>
      </c>
      <c r="D5" s="23"/>
      <c r="E5" s="23"/>
      <c r="F5" s="23"/>
      <c r="G5" s="23"/>
    </row>
    <row r="6" spans="1:7" x14ac:dyDescent="0.25">
      <c r="A6" s="21" t="s">
        <v>603</v>
      </c>
      <c r="B6" s="22">
        <v>0.5</v>
      </c>
      <c r="C6" s="23" t="s">
        <v>604</v>
      </c>
      <c r="D6" s="23"/>
      <c r="E6" s="23"/>
      <c r="F6" s="23"/>
      <c r="G6" s="23"/>
    </row>
    <row r="7" spans="1:7" x14ac:dyDescent="0.25">
      <c r="A7" s="21" t="s">
        <v>605</v>
      </c>
      <c r="B7" s="25">
        <f>1-B6</f>
        <v>0.5</v>
      </c>
      <c r="C7" s="23" t="s">
        <v>606</v>
      </c>
      <c r="D7" s="23"/>
      <c r="E7" s="23"/>
      <c r="F7" s="23"/>
      <c r="G7" s="23"/>
    </row>
    <row r="8" spans="1:7" x14ac:dyDescent="0.25">
      <c r="A8" s="21" t="s">
        <v>607</v>
      </c>
      <c r="B8" s="24">
        <v>3</v>
      </c>
      <c r="C8" s="23" t="s">
        <v>608</v>
      </c>
      <c r="D8" s="23"/>
      <c r="E8" s="23"/>
      <c r="F8" s="23"/>
      <c r="G8" s="23"/>
    </row>
    <row r="9" spans="1:7" x14ac:dyDescent="0.25">
      <c r="A9" s="21" t="s">
        <v>609</v>
      </c>
      <c r="B9" s="26" t="s">
        <v>610</v>
      </c>
      <c r="C9" s="23" t="s">
        <v>611</v>
      </c>
      <c r="D9" s="23"/>
      <c r="E9" s="23"/>
      <c r="F9" s="23"/>
      <c r="G9" s="23"/>
    </row>
    <row r="11" ht="30" customHeight="1" spans="1:10" x14ac:dyDescent="0.25">
      <c r="A11" s="10" t="s">
        <v>307</v>
      </c>
      <c r="B11" s="10" t="s">
        <v>308</v>
      </c>
      <c r="C11" s="10" t="s">
        <v>309</v>
      </c>
      <c r="D11" s="10" t="s">
        <v>612</v>
      </c>
      <c r="E11" s="10" t="s">
        <v>613</v>
      </c>
      <c r="F11" s="10" t="s">
        <v>614</v>
      </c>
      <c r="G11" s="10" t="s">
        <v>615</v>
      </c>
      <c r="H11" s="10" t="s">
        <v>616</v>
      </c>
      <c r="I11" s="10" t="s">
        <v>617</v>
      </c>
      <c r="J11" s="10" t="s">
        <v>618</v>
      </c>
    </row>
    <row r="12" spans="1:10" x14ac:dyDescent="0.25">
      <c r="A12" s="27" t="s">
        <v>321</v>
      </c>
      <c r="B12" s="27" t="s">
        <v>322</v>
      </c>
      <c r="C12" s="27" t="s">
        <v>323</v>
      </c>
      <c r="D12" s="27" t="s">
        <v>324</v>
      </c>
      <c r="E12" s="27" t="s">
        <v>325</v>
      </c>
      <c r="F12" s="28">
        <v>3</v>
      </c>
      <c r="G12" s="28" t="s">
        <v>324</v>
      </c>
      <c r="H12" s="27">
        <f>IF($B$9="Short",IF(E12="Y",1,0),1)</f>
        <v>1</v>
      </c>
      <c r="I12" s="27">
        <f>IF(H12=0,0,IF(G12="Y",0,F12))</f>
        <v>3</v>
      </c>
      <c r="J12" s="27">
        <f>IF(AND(D12="Y",H12=1,I12&lt;=$B$5),1,0)</f>
        <v>0</v>
      </c>
    </row>
    <row r="13" spans="1:10" x14ac:dyDescent="0.25">
      <c r="A13" s="21" t="s">
        <v>335</v>
      </c>
      <c r="B13" s="21" t="s">
        <v>322</v>
      </c>
      <c r="C13" s="21" t="s">
        <v>323</v>
      </c>
      <c r="D13" s="21" t="s">
        <v>325</v>
      </c>
      <c r="E13" s="21" t="s">
        <v>325</v>
      </c>
      <c r="F13" s="29">
        <v>2</v>
      </c>
      <c r="G13" s="29" t="s">
        <v>324</v>
      </c>
      <c r="H13" s="21">
        <f>IF($B$9="Short",IF(E13="Y",1,0),1)</f>
        <v>1</v>
      </c>
      <c r="I13" s="21">
        <f>IF(H13=0,0,IF(G13="Y",0,F13))</f>
        <v>2</v>
      </c>
      <c r="J13" s="21">
        <f>IF(AND(D13="Y",H13=1,I13&lt;=$B$5),1,0)</f>
        <v>0</v>
      </c>
    </row>
    <row r="14" spans="1:10" x14ac:dyDescent="0.25">
      <c r="A14" s="27" t="s">
        <v>344</v>
      </c>
      <c r="B14" s="27" t="s">
        <v>322</v>
      </c>
      <c r="C14" s="27" t="s">
        <v>323</v>
      </c>
      <c r="D14" s="27" t="s">
        <v>324</v>
      </c>
      <c r="E14" s="27" t="s">
        <v>324</v>
      </c>
      <c r="F14" s="28">
        <v>1</v>
      </c>
      <c r="G14" s="28" t="s">
        <v>324</v>
      </c>
      <c r="H14" s="27">
        <f>IF($B$9="Short",IF(E14="Y",1,0),1)</f>
        <v>1</v>
      </c>
      <c r="I14" s="27">
        <f>IF(H14=0,0,IF(G14="Y",0,F14))</f>
        <v>1</v>
      </c>
      <c r="J14" s="27">
        <f>IF(AND(D14="Y",H14=1,I14&lt;=$B$5),1,0)</f>
        <v>0</v>
      </c>
    </row>
    <row r="15" spans="1:10" x14ac:dyDescent="0.25">
      <c r="A15" s="21" t="s">
        <v>352</v>
      </c>
      <c r="B15" s="21" t="s">
        <v>322</v>
      </c>
      <c r="C15" s="21" t="s">
        <v>353</v>
      </c>
      <c r="D15" s="21" t="s">
        <v>325</v>
      </c>
      <c r="E15" s="21" t="s">
        <v>325</v>
      </c>
      <c r="F15" s="29">
        <v>2</v>
      </c>
      <c r="G15" s="29" t="s">
        <v>324</v>
      </c>
      <c r="H15" s="21">
        <f>IF($B$9="Short",IF(E15="Y",1,0),1)</f>
        <v>1</v>
      </c>
      <c r="I15" s="21">
        <f>IF(H15=0,0,IF(G15="Y",0,F15))</f>
        <v>2</v>
      </c>
      <c r="J15" s="21">
        <f>IF(AND(D15="Y",H15=1,I15&lt;=$B$5),1,0)</f>
        <v>0</v>
      </c>
    </row>
    <row r="16" spans="1:10" x14ac:dyDescent="0.25">
      <c r="A16" s="27" t="s">
        <v>361</v>
      </c>
      <c r="B16" s="27" t="s">
        <v>322</v>
      </c>
      <c r="C16" s="27" t="s">
        <v>353</v>
      </c>
      <c r="D16" s="27" t="s">
        <v>324</v>
      </c>
      <c r="E16" s="27" t="s">
        <v>325</v>
      </c>
      <c r="F16" s="28">
        <v>1</v>
      </c>
      <c r="G16" s="28" t="s">
        <v>324</v>
      </c>
      <c r="H16" s="27">
        <f>IF($B$9="Short",IF(E16="Y",1,0),1)</f>
        <v>1</v>
      </c>
      <c r="I16" s="27">
        <f>IF(H16=0,0,IF(G16="Y",0,F16))</f>
        <v>1</v>
      </c>
      <c r="J16" s="27">
        <f>IF(AND(D16="Y",H16=1,I16&lt;=$B$5),1,0)</f>
        <v>0</v>
      </c>
    </row>
    <row r="17" spans="1:10" x14ac:dyDescent="0.25">
      <c r="A17" s="21" t="s">
        <v>369</v>
      </c>
      <c r="B17" s="21" t="s">
        <v>322</v>
      </c>
      <c r="C17" s="21" t="s">
        <v>353</v>
      </c>
      <c r="D17" s="21" t="s">
        <v>324</v>
      </c>
      <c r="E17" s="21" t="s">
        <v>324</v>
      </c>
      <c r="F17" s="29">
        <v>2</v>
      </c>
      <c r="G17" s="29" t="s">
        <v>324</v>
      </c>
      <c r="H17" s="21">
        <f>IF($B$9="Short",IF(E17="Y",1,0),1)</f>
        <v>1</v>
      </c>
      <c r="I17" s="21">
        <f>IF(H17=0,0,IF(G17="Y",0,F17))</f>
        <v>2</v>
      </c>
      <c r="J17" s="21">
        <f>IF(AND(D17="Y",H17=1,I17&lt;=$B$5),1,0)</f>
        <v>0</v>
      </c>
    </row>
    <row r="18" spans="1:10" x14ac:dyDescent="0.25">
      <c r="A18" s="27" t="s">
        <v>378</v>
      </c>
      <c r="B18" s="27" t="s">
        <v>322</v>
      </c>
      <c r="C18" s="27" t="s">
        <v>379</v>
      </c>
      <c r="D18" s="27" t="s">
        <v>324</v>
      </c>
      <c r="E18" s="27" t="s">
        <v>325</v>
      </c>
      <c r="F18" s="28">
        <v>2</v>
      </c>
      <c r="G18" s="28" t="s">
        <v>324</v>
      </c>
      <c r="H18" s="27">
        <f>IF($B$9="Short",IF(E18="Y",1,0),1)</f>
        <v>1</v>
      </c>
      <c r="I18" s="27">
        <f>IF(H18=0,0,IF(G18="Y",0,F18))</f>
        <v>2</v>
      </c>
      <c r="J18" s="27">
        <f>IF(AND(D18="Y",H18=1,I18&lt;=$B$5),1,0)</f>
        <v>0</v>
      </c>
    </row>
    <row r="19" spans="1:10" x14ac:dyDescent="0.25">
      <c r="A19" s="21" t="s">
        <v>387</v>
      </c>
      <c r="B19" s="21" t="s">
        <v>322</v>
      </c>
      <c r="C19" s="21" t="s">
        <v>379</v>
      </c>
      <c r="D19" s="21" t="s">
        <v>325</v>
      </c>
      <c r="E19" s="21" t="s">
        <v>325</v>
      </c>
      <c r="F19" s="29">
        <v>2</v>
      </c>
      <c r="G19" s="29" t="s">
        <v>324</v>
      </c>
      <c r="H19" s="21">
        <f>IF($B$9="Short",IF(E19="Y",1,0),1)</f>
        <v>1</v>
      </c>
      <c r="I19" s="21">
        <f>IF(H19=0,0,IF(G19="Y",0,F19))</f>
        <v>2</v>
      </c>
      <c r="J19" s="21">
        <f>IF(AND(D19="Y",H19=1,I19&lt;=$B$5),1,0)</f>
        <v>0</v>
      </c>
    </row>
    <row r="20" spans="1:10" x14ac:dyDescent="0.25">
      <c r="A20" s="27" t="s">
        <v>395</v>
      </c>
      <c r="B20" s="27" t="s">
        <v>322</v>
      </c>
      <c r="C20" s="27" t="s">
        <v>379</v>
      </c>
      <c r="D20" s="27" t="s">
        <v>324</v>
      </c>
      <c r="E20" s="27" t="s">
        <v>324</v>
      </c>
      <c r="F20" s="28">
        <v>2</v>
      </c>
      <c r="G20" s="28" t="s">
        <v>324</v>
      </c>
      <c r="H20" s="27">
        <f>IF($B$9="Short",IF(E20="Y",1,0),1)</f>
        <v>1</v>
      </c>
      <c r="I20" s="27">
        <f>IF(H20=0,0,IF(G20="Y",0,F20))</f>
        <v>2</v>
      </c>
      <c r="J20" s="27">
        <f>IF(AND(D20="Y",H20=1,I20&lt;=$B$5),1,0)</f>
        <v>0</v>
      </c>
    </row>
    <row r="21" spans="1:10" x14ac:dyDescent="0.25">
      <c r="A21" s="21" t="s">
        <v>403</v>
      </c>
      <c r="B21" s="21" t="s">
        <v>404</v>
      </c>
      <c r="C21" s="21" t="s">
        <v>405</v>
      </c>
      <c r="D21" s="21" t="s">
        <v>325</v>
      </c>
      <c r="E21" s="21" t="s">
        <v>325</v>
      </c>
      <c r="F21" s="29">
        <v>1</v>
      </c>
      <c r="G21" s="29" t="s">
        <v>324</v>
      </c>
      <c r="H21" s="21">
        <f>IF($B$9="Short",IF(E21="Y",1,0),1)</f>
        <v>1</v>
      </c>
      <c r="I21" s="21">
        <f>IF(H21=0,0,IF(G21="Y",0,F21))</f>
        <v>1</v>
      </c>
      <c r="J21" s="21">
        <f>IF(AND(D21="Y",H21=1,I21&lt;=$B$5),1,0)</f>
        <v>1</v>
      </c>
    </row>
    <row r="22" spans="1:10" x14ac:dyDescent="0.25">
      <c r="A22" s="27" t="s">
        <v>413</v>
      </c>
      <c r="B22" s="27" t="s">
        <v>404</v>
      </c>
      <c r="C22" s="27" t="s">
        <v>405</v>
      </c>
      <c r="D22" s="27" t="s">
        <v>324</v>
      </c>
      <c r="E22" s="27" t="s">
        <v>325</v>
      </c>
      <c r="F22" s="28">
        <v>0</v>
      </c>
      <c r="G22" s="28" t="s">
        <v>325</v>
      </c>
      <c r="H22" s="27">
        <f>IF($B$9="Short",IF(E22="Y",1,0),1)</f>
        <v>1</v>
      </c>
      <c r="I22" s="27">
        <f>IF(H22=0,0,IF(G22="Y",0,F22))</f>
        <v>0</v>
      </c>
      <c r="J22" s="27">
        <f>IF(AND(D22="Y",H22=1,I22&lt;=$B$5),1,0)</f>
        <v>0</v>
      </c>
    </row>
    <row r="23" spans="1:10" x14ac:dyDescent="0.25">
      <c r="A23" s="21" t="s">
        <v>422</v>
      </c>
      <c r="B23" s="21" t="s">
        <v>404</v>
      </c>
      <c r="C23" s="21" t="s">
        <v>405</v>
      </c>
      <c r="D23" s="21" t="s">
        <v>324</v>
      </c>
      <c r="E23" s="21" t="s">
        <v>324</v>
      </c>
      <c r="F23" s="29">
        <v>0</v>
      </c>
      <c r="G23" s="29" t="s">
        <v>324</v>
      </c>
      <c r="H23" s="21">
        <f>IF($B$9="Short",IF(E23="Y",1,0),1)</f>
        <v>1</v>
      </c>
      <c r="I23" s="21">
        <f>IF(H23=0,0,IF(G23="Y",0,F23))</f>
        <v>0</v>
      </c>
      <c r="J23" s="21">
        <f>IF(AND(D23="Y",H23=1,I23&lt;=$B$5),1,0)</f>
        <v>0</v>
      </c>
    </row>
    <row r="24" spans="1:10" x14ac:dyDescent="0.25">
      <c r="A24" s="27" t="s">
        <v>429</v>
      </c>
      <c r="B24" s="27" t="s">
        <v>404</v>
      </c>
      <c r="C24" s="27" t="s">
        <v>430</v>
      </c>
      <c r="D24" s="27" t="s">
        <v>325</v>
      </c>
      <c r="E24" s="27" t="s">
        <v>325</v>
      </c>
      <c r="F24" s="28">
        <v>1</v>
      </c>
      <c r="G24" s="28" t="s">
        <v>324</v>
      </c>
      <c r="H24" s="27">
        <f>IF($B$9="Short",IF(E24="Y",1,0),1)</f>
        <v>1</v>
      </c>
      <c r="I24" s="27">
        <f>IF(H24=0,0,IF(G24="Y",0,F24))</f>
        <v>1</v>
      </c>
      <c r="J24" s="27">
        <f>IF(AND(D24="Y",H24=1,I24&lt;=$B$5),1,0)</f>
        <v>1</v>
      </c>
    </row>
    <row r="25" spans="1:10" x14ac:dyDescent="0.25">
      <c r="A25" s="21" t="s">
        <v>438</v>
      </c>
      <c r="B25" s="21" t="s">
        <v>404</v>
      </c>
      <c r="C25" s="21" t="s">
        <v>430</v>
      </c>
      <c r="D25" s="21" t="s">
        <v>324</v>
      </c>
      <c r="E25" s="21" t="s">
        <v>325</v>
      </c>
      <c r="F25" s="29">
        <v>1</v>
      </c>
      <c r="G25" s="29" t="s">
        <v>324</v>
      </c>
      <c r="H25" s="21">
        <f>IF($B$9="Short",IF(E25="Y",1,0),1)</f>
        <v>1</v>
      </c>
      <c r="I25" s="21">
        <f>IF(H25=0,0,IF(G25="Y",0,F25))</f>
        <v>1</v>
      </c>
      <c r="J25" s="21">
        <f>IF(AND(D25="Y",H25=1,I25&lt;=$B$5),1,0)</f>
        <v>0</v>
      </c>
    </row>
    <row r="26" spans="1:10" x14ac:dyDescent="0.25">
      <c r="A26" s="27" t="s">
        <v>447</v>
      </c>
      <c r="B26" s="27" t="s">
        <v>404</v>
      </c>
      <c r="C26" s="27" t="s">
        <v>430</v>
      </c>
      <c r="D26" s="27" t="s">
        <v>324</v>
      </c>
      <c r="E26" s="27" t="s">
        <v>324</v>
      </c>
      <c r="F26" s="28">
        <v>2</v>
      </c>
      <c r="G26" s="28" t="s">
        <v>324</v>
      </c>
      <c r="H26" s="27">
        <f>IF($B$9="Short",IF(E26="Y",1,0),1)</f>
        <v>1</v>
      </c>
      <c r="I26" s="27">
        <f>IF(H26=0,0,IF(G26="Y",0,F26))</f>
        <v>2</v>
      </c>
      <c r="J26" s="27">
        <f>IF(AND(D26="Y",H26=1,I26&lt;=$B$5),1,0)</f>
        <v>0</v>
      </c>
    </row>
    <row r="27" spans="1:10" x14ac:dyDescent="0.25">
      <c r="A27" s="21" t="s">
        <v>455</v>
      </c>
      <c r="B27" s="21" t="s">
        <v>404</v>
      </c>
      <c r="C27" s="21" t="s">
        <v>456</v>
      </c>
      <c r="D27" s="21" t="s">
        <v>324</v>
      </c>
      <c r="E27" s="21" t="s">
        <v>325</v>
      </c>
      <c r="F27" s="29">
        <v>2</v>
      </c>
      <c r="G27" s="29" t="s">
        <v>324</v>
      </c>
      <c r="H27" s="21">
        <f>IF($B$9="Short",IF(E27="Y",1,0),1)</f>
        <v>1</v>
      </c>
      <c r="I27" s="21">
        <f>IF(H27=0,0,IF(G27="Y",0,F27))</f>
        <v>2</v>
      </c>
      <c r="J27" s="21">
        <f>IF(AND(D27="Y",H27=1,I27&lt;=$B$5),1,0)</f>
        <v>0</v>
      </c>
    </row>
    <row r="28" spans="1:10" x14ac:dyDescent="0.25">
      <c r="A28" s="27" t="s">
        <v>464</v>
      </c>
      <c r="B28" s="27" t="s">
        <v>404</v>
      </c>
      <c r="C28" s="27" t="s">
        <v>456</v>
      </c>
      <c r="D28" s="27" t="s">
        <v>325</v>
      </c>
      <c r="E28" s="27" t="s">
        <v>325</v>
      </c>
      <c r="F28" s="28">
        <v>1</v>
      </c>
      <c r="G28" s="28" t="s">
        <v>324</v>
      </c>
      <c r="H28" s="27">
        <f>IF($B$9="Short",IF(E28="Y",1,0),1)</f>
        <v>1</v>
      </c>
      <c r="I28" s="27">
        <f>IF(H28=0,0,IF(G28="Y",0,F28))</f>
        <v>1</v>
      </c>
      <c r="J28" s="27">
        <f>IF(AND(D28="Y",H28=1,I28&lt;=$B$5),1,0)</f>
        <v>1</v>
      </c>
    </row>
    <row r="29" spans="1:10" x14ac:dyDescent="0.25">
      <c r="A29" s="21" t="s">
        <v>472</v>
      </c>
      <c r="B29" s="21" t="s">
        <v>404</v>
      </c>
      <c r="C29" s="21" t="s">
        <v>456</v>
      </c>
      <c r="D29" s="21" t="s">
        <v>324</v>
      </c>
      <c r="E29" s="21" t="s">
        <v>324</v>
      </c>
      <c r="F29" s="29">
        <v>1</v>
      </c>
      <c r="G29" s="29" t="s">
        <v>324</v>
      </c>
      <c r="H29" s="21">
        <f>IF($B$9="Short",IF(E29="Y",1,0),1)</f>
        <v>1</v>
      </c>
      <c r="I29" s="21">
        <f>IF(H29=0,0,IF(G29="Y",0,F29))</f>
        <v>1</v>
      </c>
      <c r="J29" s="21">
        <f>IF(AND(D29="Y",H29=1,I29&lt;=$B$5),1,0)</f>
        <v>0</v>
      </c>
    </row>
    <row r="31" spans="1:10" x14ac:dyDescent="0.25">
      <c r="A31" s="3" t="s">
        <v>619</v>
      </c>
      <c r="B31" s="3"/>
      <c r="C31" s="3"/>
      <c r="D31" s="3"/>
      <c r="E31" s="3"/>
      <c r="F31" s="3"/>
      <c r="G31" s="3"/>
      <c r="H31" s="3"/>
      <c r="I31" s="3"/>
      <c r="J31" s="3"/>
    </row>
    <row r="32" ht="30" customHeight="1" spans="1:10" x14ac:dyDescent="0.25">
      <c r="A32" s="10" t="s">
        <v>309</v>
      </c>
      <c r="B32" s="10" t="s">
        <v>308</v>
      </c>
      <c r="C32" s="10" t="s">
        <v>620</v>
      </c>
      <c r="D32" s="10" t="s">
        <v>621</v>
      </c>
      <c r="E32" s="10" t="s">
        <v>622</v>
      </c>
      <c r="F32" s="10" t="s">
        <v>623</v>
      </c>
      <c r="G32" s="10" t="s">
        <v>624</v>
      </c>
      <c r="H32" s="10" t="s">
        <v>625</v>
      </c>
      <c r="I32" s="10" t="s">
        <v>626</v>
      </c>
      <c r="J32" s="10" t="s">
        <v>194</v>
      </c>
    </row>
    <row r="33" spans="1:9" x14ac:dyDescent="0.25">
      <c r="A33" s="21" t="s">
        <v>323</v>
      </c>
      <c r="B33" s="21" t="s">
        <v>322</v>
      </c>
      <c r="C33" s="29">
        <v>1</v>
      </c>
      <c r="D33" s="21">
        <f>SUMIFS($I$12:$I$29,$C$12:$C$29,A33)</f>
        <v>6</v>
      </c>
      <c r="E33" s="21">
        <f>SUMIFS($H$12:$H$29,$C$12:$C$29,A33)*$B$8</f>
        <v>9</v>
      </c>
      <c r="F33" s="25">
        <f>IF(E33=0,0,D33/E33)</f>
        <v>0.6666666666666666</v>
      </c>
      <c r="G33" s="21">
        <f>SUMIFS($J$12:$J$29,$C$12:$C$29,A33)</f>
        <v>0</v>
      </c>
      <c r="H33" s="30">
        <f>F33-G33</f>
        <v>0.6666666666666666</v>
      </c>
      <c r="I33" s="25">
        <f>C33*F33</f>
        <v>0.6666666666666666</v>
      </c>
    </row>
    <row r="34" spans="1:9" x14ac:dyDescent="0.25">
      <c r="A34" s="21" t="s">
        <v>353</v>
      </c>
      <c r="B34" s="21" t="s">
        <v>322</v>
      </c>
      <c r="C34" s="29">
        <v>1</v>
      </c>
      <c r="D34" s="21">
        <f>SUMIFS($I$12:$I$29,$C$12:$C$29,A34)</f>
        <v>5</v>
      </c>
      <c r="E34" s="21">
        <f>SUMIFS($H$12:$H$29,$C$12:$C$29,A34)*$B$8</f>
        <v>9</v>
      </c>
      <c r="F34" s="25">
        <f>IF(E34=0,0,D34/E34)</f>
        <v>0.5555555555555556</v>
      </c>
      <c r="G34" s="21">
        <f>SUMIFS($J$12:$J$29,$C$12:$C$29,A34)</f>
        <v>0</v>
      </c>
      <c r="H34" s="30">
        <f>F34-G34</f>
        <v>0.5555555555555556</v>
      </c>
      <c r="I34" s="25">
        <f>C34*F34</f>
        <v>0.5555555555555556</v>
      </c>
    </row>
    <row r="35" spans="1:9" x14ac:dyDescent="0.25">
      <c r="A35" s="21" t="s">
        <v>379</v>
      </c>
      <c r="B35" s="21" t="s">
        <v>322</v>
      </c>
      <c r="C35" s="29">
        <v>1</v>
      </c>
      <c r="D35" s="21">
        <f>SUMIFS($I$12:$I$29,$C$12:$C$29,A35)</f>
        <v>6</v>
      </c>
      <c r="E35" s="21">
        <f>SUMIFS($H$12:$H$29,$C$12:$C$29,A35)*$B$8</f>
        <v>9</v>
      </c>
      <c r="F35" s="25">
        <f>IF(E35=0,0,D35/E35)</f>
        <v>0.6666666666666666</v>
      </c>
      <c r="G35" s="21">
        <f>SUMIFS($J$12:$J$29,$C$12:$C$29,A35)</f>
        <v>0</v>
      </c>
      <c r="H35" s="30">
        <f>F35-G35</f>
        <v>0.6666666666666666</v>
      </c>
      <c r="I35" s="25">
        <f>C35*F35</f>
        <v>0.6666666666666666</v>
      </c>
    </row>
    <row r="36" spans="1:9" x14ac:dyDescent="0.25">
      <c r="A36" s="21" t="s">
        <v>405</v>
      </c>
      <c r="B36" s="21" t="s">
        <v>404</v>
      </c>
      <c r="C36" s="29">
        <v>1</v>
      </c>
      <c r="D36" s="21">
        <f>SUMIFS($I$12:$I$29,$C$12:$C$29,A36)</f>
        <v>1</v>
      </c>
      <c r="E36" s="21">
        <f>SUMIFS($H$12:$H$29,$C$12:$C$29,A36)*$B$8</f>
        <v>9</v>
      </c>
      <c r="F36" s="25">
        <f>IF(E36=0,0,D36/E36)</f>
        <v>0.1111111111111111</v>
      </c>
      <c r="G36" s="21">
        <f>SUMIFS($J$12:$J$29,$C$12:$C$29,A36)</f>
        <v>1</v>
      </c>
      <c r="H36" s="30">
        <f>F36-G36</f>
        <v>-0.8888888888888888</v>
      </c>
      <c r="I36" s="25">
        <f>C36*F36</f>
        <v>0.1111111111111111</v>
      </c>
    </row>
    <row r="37" spans="1:9" x14ac:dyDescent="0.25">
      <c r="A37" s="21" t="s">
        <v>430</v>
      </c>
      <c r="B37" s="21" t="s">
        <v>404</v>
      </c>
      <c r="C37" s="29">
        <v>1</v>
      </c>
      <c r="D37" s="21">
        <f>SUMIFS($I$12:$I$29,$C$12:$C$29,A37)</f>
        <v>4</v>
      </c>
      <c r="E37" s="21">
        <f>SUMIFS($H$12:$H$29,$C$12:$C$29,A37)*$B$8</f>
        <v>9</v>
      </c>
      <c r="F37" s="25">
        <f>IF(E37=0,0,D37/E37)</f>
        <v>0.4444444444444444</v>
      </c>
      <c r="G37" s="21">
        <f>SUMIFS($J$12:$J$29,$C$12:$C$29,A37)</f>
        <v>1</v>
      </c>
      <c r="H37" s="30">
        <f>F37-G37</f>
        <v>-0.5555555555555556</v>
      </c>
      <c r="I37" s="25">
        <f>C37*F37</f>
        <v>0.4444444444444444</v>
      </c>
    </row>
    <row r="38" spans="1:9" x14ac:dyDescent="0.25">
      <c r="A38" s="21" t="s">
        <v>456</v>
      </c>
      <c r="B38" s="21" t="s">
        <v>404</v>
      </c>
      <c r="C38" s="29">
        <v>1</v>
      </c>
      <c r="D38" s="21">
        <f>SUMIFS($I$12:$I$29,$C$12:$C$29,A38)</f>
        <v>4</v>
      </c>
      <c r="E38" s="21">
        <f>SUMIFS($H$12:$H$29,$C$12:$C$29,A38)*$B$8</f>
        <v>9</v>
      </c>
      <c r="F38" s="25">
        <f>IF(E38=0,0,D38/E38)</f>
        <v>0.4444444444444444</v>
      </c>
      <c r="G38" s="21">
        <f>SUMIFS($J$12:$J$29,$C$12:$C$29,A38)</f>
        <v>1</v>
      </c>
      <c r="H38" s="30">
        <f>F38-G38</f>
        <v>-0.5555555555555556</v>
      </c>
      <c r="I38" s="25">
        <f>C38*F38</f>
        <v>0.4444444444444444</v>
      </c>
    </row>
    <row r="39" ht="28" customHeight="1" spans="1:10" x14ac:dyDescent="0.25">
      <c r="A39" s="31" t="s">
        <v>627</v>
      </c>
      <c r="B39" s="31"/>
      <c r="C39" s="31"/>
      <c r="D39" s="31"/>
      <c r="E39" s="31"/>
      <c r="F39" s="31"/>
      <c r="G39" s="31"/>
      <c r="H39" s="31"/>
      <c r="I39" s="31"/>
      <c r="J39" s="31"/>
    </row>
    <row r="41" spans="1:10" x14ac:dyDescent="0.25">
      <c r="A41" s="3" t="s">
        <v>628</v>
      </c>
      <c r="B41" s="3"/>
      <c r="C41" s="3"/>
      <c r="D41" s="3"/>
      <c r="E41" s="3"/>
      <c r="F41" s="3"/>
      <c r="G41" s="3"/>
      <c r="H41" s="3"/>
      <c r="I41" s="3"/>
      <c r="J41" s="3"/>
    </row>
    <row r="42" spans="1:10" x14ac:dyDescent="0.25">
      <c r="A42" s="32" t="s">
        <v>629</v>
      </c>
      <c r="B42" s="33">
        <f>SUMIFS($I$33:$I$38,$B$33:$B$38,"Build")/SUMIFS($C$33:$C$38,$B$33:$B$38,"Build")</f>
        <v>0.6296296296296297</v>
      </c>
      <c r="C42" s="33"/>
      <c r="D42" s="33"/>
      <c r="E42" s="33"/>
      <c r="F42" s="33"/>
      <c r="G42" s="33"/>
      <c r="H42" s="33"/>
      <c r="I42" s="33"/>
      <c r="J42" s="33"/>
    </row>
    <row r="43" spans="1:10" x14ac:dyDescent="0.25">
      <c r="A43" s="32" t="s">
        <v>630</v>
      </c>
      <c r="B43" s="33">
        <f>SUMIFS($I$33:$I$38,$B$33:$B$38,"Safe")/SUMIFS($C$33:$C$38,$B$33:$B$38,"Safe")</f>
        <v>0.3333333333333333</v>
      </c>
      <c r="C43" s="33"/>
      <c r="D43" s="33"/>
      <c r="E43" s="33"/>
      <c r="F43" s="33"/>
      <c r="G43" s="33"/>
      <c r="H43" s="33"/>
      <c r="I43" s="33"/>
      <c r="J43" s="33"/>
    </row>
    <row r="44" spans="1:10" x14ac:dyDescent="0.25">
      <c r="A44" s="32" t="s">
        <v>631</v>
      </c>
      <c r="B44" s="33">
        <f>B42*$B$6+B43*$B$7</f>
        <v>0.4814814814814815</v>
      </c>
      <c r="C44" s="33"/>
      <c r="D44" s="33"/>
      <c r="E44" s="33"/>
      <c r="F44" s="33"/>
      <c r="G44" s="33"/>
      <c r="H44" s="33"/>
      <c r="I44" s="33"/>
      <c r="J44" s="33"/>
    </row>
    <row r="45" spans="1:10" x14ac:dyDescent="0.25">
      <c r="A45" s="32" t="s">
        <v>632</v>
      </c>
      <c r="B45" s="34" t="str">
        <f>IF(AND(B42&gt;=$B$4,B43&gt;=$B$4),"Ready to Scale",IF(B42&gt;=$B$4,"Moving Faster Than Guardrails",IF(B43&gt;=$B$4,"Guardrails First","Laying the Groundwork")))</f>
        <v>Moving Faster Than Guardrails</v>
      </c>
      <c r="C45" s="34"/>
      <c r="D45" s="34"/>
      <c r="E45" s="34"/>
      <c r="F45" s="34"/>
      <c r="G45" s="34"/>
      <c r="H45" s="34"/>
      <c r="I45" s="34"/>
      <c r="J45" s="34"/>
    </row>
    <row r="46" spans="1:10" x14ac:dyDescent="0.25">
      <c r="A46" s="32" t="s">
        <v>633</v>
      </c>
      <c r="B46" s="35">
        <f>SUM($J$12:$J$29)</f>
        <v>3</v>
      </c>
      <c r="C46" s="35"/>
      <c r="D46" s="35"/>
      <c r="E46" s="35"/>
      <c r="F46" s="35"/>
      <c r="G46" s="35"/>
      <c r="H46" s="35"/>
      <c r="I46" s="35"/>
      <c r="J46" s="35"/>
    </row>
    <row r="47" spans="1:10" x14ac:dyDescent="0.25">
      <c r="A47" s="32" t="s">
        <v>634</v>
      </c>
      <c r="B47" s="35">
        <f>COUNTIFS($G$12:$G$29,"Y",$H$12:$H$29,1)</f>
        <v>1</v>
      </c>
      <c r="C47" s="35"/>
      <c r="D47" s="35"/>
      <c r="E47" s="35"/>
      <c r="F47" s="35"/>
      <c r="G47" s="35"/>
      <c r="H47" s="35"/>
      <c r="I47" s="35"/>
      <c r="J47" s="35"/>
    </row>
    <row r="48" spans="1:10" x14ac:dyDescent="0.25">
      <c r="A48" s="32" t="s">
        <v>635</v>
      </c>
      <c r="B48" s="36" t="str">
        <f>INDEX($A$33:$A$38,MATCH(MIN($H$33:$H$38),$H$33:$H$38,0))</f>
        <v>Shadow AI &amp; Data Protection</v>
      </c>
      <c r="C48" s="36"/>
      <c r="D48" s="36"/>
      <c r="E48" s="36"/>
      <c r="F48" s="36"/>
      <c r="G48" s="36"/>
      <c r="H48" s="36"/>
      <c r="I48" s="36"/>
      <c r="J48" s="36"/>
    </row>
    <row r="49" spans="1:10" x14ac:dyDescent="0.25">
      <c r="A49" s="32" t="s">
        <v>636</v>
      </c>
      <c r="B49" s="37" t="str">
        <f>INDEX('Service Routing'!$C$5:$C$10,MATCH(B48,'Service Routing'!$A$5:$A$10,0))</f>
        <v>xloopdigital.com/services/ai-security-service</v>
      </c>
      <c r="C49" s="37"/>
      <c r="D49" s="37"/>
      <c r="E49" s="37"/>
      <c r="F49" s="37"/>
      <c r="G49" s="37"/>
      <c r="H49" s="37"/>
      <c r="I49" s="37"/>
      <c r="J49" s="37"/>
    </row>
    <row r="50" spans="1:10" x14ac:dyDescent="0.25">
      <c r="A50" s="32" t="s">
        <v>637</v>
      </c>
      <c r="B50" s="37" t="str">
        <f>IF(B46&gt;0,INDEX('Service Routing'!$E$5:$E$10,MATCH(B48,'Service Routing'!$A$5:$A$10,0)),INDEX('Result Profiles'!$F$5:$F$8,MATCH(B45,'Result Profiles'!$A$5:$A$8,0)))</f>
        <v>Book an AI Security Assessment</v>
      </c>
      <c r="C50" s="37"/>
      <c r="D50" s="37"/>
      <c r="E50" s="37"/>
      <c r="F50" s="37"/>
      <c r="G50" s="37"/>
      <c r="H50" s="37"/>
      <c r="I50" s="37"/>
      <c r="J50" s="37"/>
    </row>
    <row r="51" spans="1:10" x14ac:dyDescent="0.25">
      <c r="A51" s="32" t="s">
        <v>638</v>
      </c>
      <c r="B51" s="37" t="str">
        <f>INDEX('Result Profiles'!$C$5:$C$8,MATCH(B45,'Result Profiles'!$A$5:$A$8,0))</f>
        <v>You can build. Make sure it’s safe to scale before it reaches customers.</v>
      </c>
      <c r="C51" s="37"/>
      <c r="D51" s="37"/>
      <c r="E51" s="37"/>
      <c r="F51" s="37"/>
      <c r="G51" s="37"/>
      <c r="H51" s="37"/>
      <c r="I51" s="37"/>
      <c r="J51" s="37"/>
    </row>
    <row r="52" spans="1:10" x14ac:dyDescent="0.25">
      <c r="A52" s="32" t="s">
        <v>639</v>
      </c>
      <c r="B52" s="36" t="str">
        <f>IF(B46=0,"No blockers flagged.",B46&amp;IF(B46=1," thing is"," things are")&amp;" likely to stall your first use case.")</f>
        <v>3 things are likely to stall your first use case.</v>
      </c>
      <c r="C52" s="36"/>
      <c r="D52" s="36"/>
      <c r="E52" s="36"/>
      <c r="F52" s="36"/>
      <c r="G52" s="36"/>
      <c r="H52" s="36"/>
      <c r="I52" s="36"/>
      <c r="J52" s="36"/>
    </row>
    <row r="54" ht="44" customHeight="1" spans="1:10" x14ac:dyDescent="0.25">
      <c r="A54" s="31" t="s">
        <v>640</v>
      </c>
      <c r="B54" s="31"/>
      <c r="C54" s="31"/>
      <c r="D54" s="31"/>
      <c r="E54" s="31"/>
      <c r="F54" s="31"/>
      <c r="G54" s="31"/>
      <c r="H54" s="31"/>
      <c r="I54" s="31"/>
      <c r="J54" s="31"/>
    </row>
  </sheetData>
  <mergeCells count="24">
    <mergeCell ref="A1:J1"/>
    <mergeCell ref="A2:J2"/>
    <mergeCell ref="A3:J3"/>
    <mergeCell ref="C4:G4"/>
    <mergeCell ref="C5:G5"/>
    <mergeCell ref="C6:G6"/>
    <mergeCell ref="C7:G7"/>
    <mergeCell ref="C8:G8"/>
    <mergeCell ref="C9:G9"/>
    <mergeCell ref="A31:J31"/>
    <mergeCell ref="A39:J39"/>
    <mergeCell ref="A41:J41"/>
    <mergeCell ref="B42:J42"/>
    <mergeCell ref="B43:J43"/>
    <mergeCell ref="B44:J44"/>
    <mergeCell ref="B45:J45"/>
    <mergeCell ref="B46:J46"/>
    <mergeCell ref="B47:J47"/>
    <mergeCell ref="B48:J48"/>
    <mergeCell ref="B49:J49"/>
    <mergeCell ref="B50:J50"/>
    <mergeCell ref="B51:J51"/>
    <mergeCell ref="B52:J52"/>
    <mergeCell ref="A54:J54"/>
  </mergeCells>
  <dataValidations count="3">
    <dataValidation type="list" sqref="B9">
      <formula1>"Full,Short"</formula1>
    </dataValidation>
    <dataValidation type="whole" showErrorMessage="1" errorTitle="Score" error="Enter 0, 1, 2 or 3" sqref="F12:F29">
      <formula1>0</formula1>
      <formula2>3</formula2>
    </dataValidation>
    <dataValidation type="list" sqref="G12:G29">
      <formula1>"Y,N"</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howGridLines="0"/>
  </sheetViews>
  <sheetFormatPr defaultRowHeight="15" outlineLevelRow="0" outlineLevelCol="0" x14ac:dyDescent="55"/>
  <cols>
    <col min="1" max="2" width="26" customWidth="1"/>
    <col min="3" max="3" width="40" customWidth="1"/>
    <col min="4" max="4" width="44" customWidth="1"/>
    <col min="5" max="5" width="40" customWidth="1"/>
    <col min="6" max="6" width="30" customWidth="1"/>
    <col min="7" max="7" width="36" customWidth="1"/>
  </cols>
  <sheetData>
    <row r="1" spans="1:7" x14ac:dyDescent="0.25">
      <c r="A1" s="1" t="s">
        <v>641</v>
      </c>
      <c r="B1" s="1"/>
      <c r="C1" s="1"/>
      <c r="D1" s="1"/>
      <c r="E1" s="1"/>
      <c r="F1" s="1"/>
      <c r="G1" s="1"/>
    </row>
    <row r="2" ht="30" customHeight="1" spans="1:7" x14ac:dyDescent="0.25">
      <c r="A2" s="2" t="s">
        <v>642</v>
      </c>
      <c r="B2" s="2"/>
      <c r="C2" s="2"/>
      <c r="D2" s="2"/>
      <c r="E2" s="2"/>
      <c r="F2" s="2"/>
      <c r="G2" s="2"/>
    </row>
    <row r="4" ht="30" customHeight="1" spans="1:7" x14ac:dyDescent="0.25">
      <c r="A4" s="10" t="s">
        <v>632</v>
      </c>
      <c r="B4" s="10" t="s">
        <v>643</v>
      </c>
      <c r="C4" s="10" t="s">
        <v>638</v>
      </c>
      <c r="D4" s="10" t="s">
        <v>644</v>
      </c>
      <c r="E4" s="10" t="s">
        <v>645</v>
      </c>
      <c r="F4" s="10" t="s">
        <v>646</v>
      </c>
      <c r="G4" s="10" t="s">
        <v>647</v>
      </c>
    </row>
    <row r="5" ht="56" customHeight="1" spans="1:7" x14ac:dyDescent="0.25">
      <c r="A5" s="5" t="s">
        <v>648</v>
      </c>
      <c r="B5" s="5" t="s">
        <v>649</v>
      </c>
      <c r="C5" s="5" t="s">
        <v>650</v>
      </c>
      <c r="D5" s="5" t="s">
        <v>651</v>
      </c>
      <c r="E5" s="5" t="s">
        <v>652</v>
      </c>
      <c r="F5" s="5" t="s">
        <v>653</v>
      </c>
      <c r="G5" s="5" t="s">
        <v>525</v>
      </c>
    </row>
    <row r="6" ht="43" customHeight="1" spans="1:7" x14ac:dyDescent="0.25">
      <c r="A6" s="6" t="s">
        <v>654</v>
      </c>
      <c r="B6" s="6" t="s">
        <v>655</v>
      </c>
      <c r="C6" s="6" t="s">
        <v>656</v>
      </c>
      <c r="D6" s="6" t="s">
        <v>657</v>
      </c>
      <c r="E6" s="6" t="s">
        <v>658</v>
      </c>
      <c r="F6" s="6" t="s">
        <v>659</v>
      </c>
      <c r="G6" s="6" t="s">
        <v>660</v>
      </c>
    </row>
    <row r="7" ht="56" customHeight="1" spans="1:7" x14ac:dyDescent="0.25">
      <c r="A7" s="5" t="s">
        <v>661</v>
      </c>
      <c r="B7" s="5" t="s">
        <v>662</v>
      </c>
      <c r="C7" s="5" t="s">
        <v>663</v>
      </c>
      <c r="D7" s="5" t="s">
        <v>664</v>
      </c>
      <c r="E7" s="5" t="s">
        <v>665</v>
      </c>
      <c r="F7" s="5" t="s">
        <v>666</v>
      </c>
      <c r="G7" s="5" t="s">
        <v>667</v>
      </c>
    </row>
    <row r="8" ht="43" customHeight="1" spans="1:7" x14ac:dyDescent="0.25">
      <c r="A8" s="6" t="s">
        <v>668</v>
      </c>
      <c r="B8" s="6" t="s">
        <v>669</v>
      </c>
      <c r="C8" s="6" t="s">
        <v>670</v>
      </c>
      <c r="D8" s="6" t="s">
        <v>671</v>
      </c>
      <c r="E8" s="6" t="s">
        <v>672</v>
      </c>
      <c r="F8" s="6" t="s">
        <v>673</v>
      </c>
      <c r="G8" s="6" t="s">
        <v>674</v>
      </c>
    </row>
    <row r="10" spans="1:7" x14ac:dyDescent="0.25">
      <c r="A10" s="3" t="s">
        <v>675</v>
      </c>
      <c r="B10" s="3"/>
      <c r="C10" s="3"/>
      <c r="D10" s="3"/>
      <c r="E10" s="3"/>
      <c r="F10" s="3"/>
      <c r="G10" s="3"/>
    </row>
    <row r="11" ht="43" customHeight="1" spans="1:7" x14ac:dyDescent="0.25">
      <c r="A11" s="5" t="s">
        <v>676</v>
      </c>
      <c r="B11" s="5" t="s">
        <v>677</v>
      </c>
      <c r="C11" s="5" t="s">
        <v>678</v>
      </c>
      <c r="D11" s="5" t="s">
        <v>679</v>
      </c>
      <c r="E11" s="5" t="s">
        <v>680</v>
      </c>
      <c r="F11" s="5" t="s">
        <v>681</v>
      </c>
      <c r="G11" s="5" t="s">
        <v>682</v>
      </c>
    </row>
    <row r="12" ht="30" customHeight="1" spans="1:7" x14ac:dyDescent="0.25">
      <c r="A12" s="6" t="s">
        <v>683</v>
      </c>
      <c r="B12" s="6" t="s">
        <v>684</v>
      </c>
      <c r="C12" s="6" t="s">
        <v>685</v>
      </c>
      <c r="D12" s="6" t="s">
        <v>686</v>
      </c>
      <c r="E12" s="6" t="s">
        <v>687</v>
      </c>
      <c r="F12" s="6" t="s">
        <v>688</v>
      </c>
      <c r="G12" s="6" t="s">
        <v>296</v>
      </c>
    </row>
    <row r="13" ht="17" customHeight="1" spans="1:7" x14ac:dyDescent="0.25">
      <c r="A13" s="5" t="s">
        <v>689</v>
      </c>
      <c r="B13" s="5" t="s">
        <v>528</v>
      </c>
      <c r="C13" s="5" t="s">
        <v>690</v>
      </c>
      <c r="D13" s="5" t="s">
        <v>296</v>
      </c>
      <c r="E13" s="5" t="s">
        <v>691</v>
      </c>
      <c r="F13" s="5" t="s">
        <v>688</v>
      </c>
      <c r="G13" s="5" t="s">
        <v>296</v>
      </c>
    </row>
    <row r="15" spans="1:7" x14ac:dyDescent="0.25">
      <c r="A15" s="3" t="s">
        <v>692</v>
      </c>
      <c r="B15" s="3"/>
      <c r="C15" s="3"/>
      <c r="D15" s="3"/>
      <c r="E15" s="3"/>
      <c r="F15" s="3"/>
      <c r="G15" s="3"/>
    </row>
    <row r="16" ht="30" customHeight="1" spans="1:7" x14ac:dyDescent="0.25">
      <c r="A16" s="5" t="s">
        <v>693</v>
      </c>
      <c r="B16" s="5" t="s">
        <v>194</v>
      </c>
      <c r="C16" s="5" t="s">
        <v>694</v>
      </c>
      <c r="D16" s="5" t="s">
        <v>695</v>
      </c>
      <c r="E16" s="5" t="s">
        <v>696</v>
      </c>
      <c r="F16" s="5" t="s">
        <v>697</v>
      </c>
      <c r="G16" s="5" t="s">
        <v>698</v>
      </c>
    </row>
  </sheetData>
  <mergeCells count="4">
    <mergeCell ref="A1:G1"/>
    <mergeCell ref="A2:G2"/>
    <mergeCell ref="A10:G10"/>
    <mergeCell ref="A15:G15"/>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owGridLines="0"/>
  </sheetViews>
  <sheetFormatPr defaultRowHeight="15" outlineLevelRow="0" outlineLevelCol="0" x14ac:dyDescent="55"/>
  <cols>
    <col min="1" max="1" width="24" customWidth="1"/>
    <col min="2" max="2" width="8" customWidth="1"/>
    <col min="3" max="3" width="38" customWidth="1"/>
    <col min="4" max="4" width="36" customWidth="1"/>
    <col min="5" max="5" width="30" customWidth="1"/>
    <col min="6" max="6" width="28" customWidth="1"/>
    <col min="7" max="7" width="40" customWidth="1"/>
    <col min="8" max="8" width="44" customWidth="1"/>
    <col min="9" max="9" width="40" customWidth="1"/>
  </cols>
  <sheetData>
    <row r="1" spans="1:9" x14ac:dyDescent="0.25">
      <c r="A1" s="1" t="s">
        <v>699</v>
      </c>
      <c r="B1" s="1"/>
      <c r="C1" s="1"/>
      <c r="D1" s="1"/>
      <c r="E1" s="1"/>
      <c r="F1" s="1"/>
      <c r="G1" s="1"/>
      <c r="H1" s="1"/>
      <c r="I1" s="1"/>
    </row>
    <row r="2" ht="30" customHeight="1" spans="1:9" x14ac:dyDescent="0.25">
      <c r="A2" s="2" t="s">
        <v>700</v>
      </c>
      <c r="B2" s="2"/>
      <c r="C2" s="2"/>
      <c r="D2" s="2"/>
      <c r="E2" s="2"/>
      <c r="F2" s="2"/>
      <c r="G2" s="2"/>
      <c r="H2" s="2"/>
      <c r="I2" s="2"/>
    </row>
    <row r="4" ht="30" customHeight="1" spans="1:9" x14ac:dyDescent="0.25">
      <c r="A4" s="10" t="s">
        <v>309</v>
      </c>
      <c r="B4" s="10" t="s">
        <v>308</v>
      </c>
      <c r="C4" s="10" t="s">
        <v>636</v>
      </c>
      <c r="D4" s="10" t="s">
        <v>701</v>
      </c>
      <c r="E4" s="10" t="s">
        <v>702</v>
      </c>
      <c r="F4" s="10" t="s">
        <v>703</v>
      </c>
      <c r="G4" s="10" t="s">
        <v>704</v>
      </c>
      <c r="H4" s="10" t="s">
        <v>705</v>
      </c>
      <c r="I4" s="10" t="s">
        <v>706</v>
      </c>
    </row>
    <row r="5" ht="43" customHeight="1" spans="1:9" x14ac:dyDescent="0.25">
      <c r="A5" s="5" t="s">
        <v>323</v>
      </c>
      <c r="B5" s="5" t="s">
        <v>322</v>
      </c>
      <c r="C5" s="5" t="s">
        <v>525</v>
      </c>
      <c r="D5" s="5" t="s">
        <v>674</v>
      </c>
      <c r="E5" s="5" t="s">
        <v>653</v>
      </c>
      <c r="F5" s="5" t="s">
        <v>707</v>
      </c>
      <c r="G5" s="5" t="s">
        <v>708</v>
      </c>
      <c r="H5" s="5" t="s">
        <v>709</v>
      </c>
      <c r="I5" s="9" t="s">
        <v>710</v>
      </c>
    </row>
    <row r="6" ht="43" customHeight="1" spans="1:9" x14ac:dyDescent="0.25">
      <c r="A6" s="6" t="s">
        <v>353</v>
      </c>
      <c r="B6" s="6" t="s">
        <v>322</v>
      </c>
      <c r="C6" s="6" t="s">
        <v>660</v>
      </c>
      <c r="D6" s="6" t="s">
        <v>711</v>
      </c>
      <c r="E6" s="6" t="s">
        <v>659</v>
      </c>
      <c r="F6" s="6" t="s">
        <v>712</v>
      </c>
      <c r="G6" s="6" t="s">
        <v>713</v>
      </c>
      <c r="H6" s="6" t="s">
        <v>714</v>
      </c>
      <c r="I6" s="9" t="s">
        <v>715</v>
      </c>
    </row>
    <row r="7" ht="43" customHeight="1" spans="1:9" x14ac:dyDescent="0.25">
      <c r="A7" s="5" t="s">
        <v>379</v>
      </c>
      <c r="B7" s="5" t="s">
        <v>322</v>
      </c>
      <c r="C7" s="5" t="s">
        <v>711</v>
      </c>
      <c r="D7" s="5" t="s">
        <v>716</v>
      </c>
      <c r="E7" s="5" t="s">
        <v>673</v>
      </c>
      <c r="F7" s="5" t="s">
        <v>717</v>
      </c>
      <c r="G7" s="5" t="s">
        <v>718</v>
      </c>
      <c r="H7" s="5" t="s">
        <v>719</v>
      </c>
      <c r="I7" s="9" t="s">
        <v>720</v>
      </c>
    </row>
    <row r="8" ht="43" customHeight="1" spans="1:9" x14ac:dyDescent="0.25">
      <c r="A8" s="6" t="s">
        <v>405</v>
      </c>
      <c r="B8" s="6" t="s">
        <v>404</v>
      </c>
      <c r="C8" s="6" t="s">
        <v>667</v>
      </c>
      <c r="D8" s="6" t="s">
        <v>296</v>
      </c>
      <c r="E8" s="6" t="s">
        <v>666</v>
      </c>
      <c r="F8" s="6" t="s">
        <v>721</v>
      </c>
      <c r="G8" s="6" t="s">
        <v>722</v>
      </c>
      <c r="H8" s="6" t="s">
        <v>723</v>
      </c>
      <c r="I8" s="9" t="s">
        <v>724</v>
      </c>
    </row>
    <row r="9" ht="43" customHeight="1" spans="1:9" x14ac:dyDescent="0.25">
      <c r="A9" s="5" t="s">
        <v>430</v>
      </c>
      <c r="B9" s="5" t="s">
        <v>404</v>
      </c>
      <c r="C9" s="5" t="s">
        <v>667</v>
      </c>
      <c r="D9" s="5" t="s">
        <v>296</v>
      </c>
      <c r="E9" s="5" t="s">
        <v>725</v>
      </c>
      <c r="F9" s="5" t="s">
        <v>726</v>
      </c>
      <c r="G9" s="5" t="s">
        <v>727</v>
      </c>
      <c r="H9" s="5" t="s">
        <v>728</v>
      </c>
      <c r="I9" s="9" t="s">
        <v>729</v>
      </c>
    </row>
    <row r="10" ht="43" customHeight="1" spans="1:9" x14ac:dyDescent="0.25">
      <c r="A10" s="6" t="s">
        <v>456</v>
      </c>
      <c r="B10" s="6" t="s">
        <v>404</v>
      </c>
      <c r="C10" s="6" t="s">
        <v>667</v>
      </c>
      <c r="D10" s="6" t="s">
        <v>730</v>
      </c>
      <c r="E10" s="6" t="s">
        <v>731</v>
      </c>
      <c r="F10" s="6" t="s">
        <v>732</v>
      </c>
      <c r="G10" s="6" t="s">
        <v>733</v>
      </c>
      <c r="H10" s="6" t="s">
        <v>734</v>
      </c>
      <c r="I10" s="9" t="s">
        <v>735</v>
      </c>
    </row>
    <row r="12" spans="1:9" x14ac:dyDescent="0.25">
      <c r="A12" s="3" t="s">
        <v>736</v>
      </c>
      <c r="B12" s="3"/>
      <c r="C12" s="3"/>
      <c r="D12" s="3"/>
      <c r="E12" s="3"/>
      <c r="F12" s="3"/>
      <c r="G12" s="3"/>
      <c r="H12" s="3"/>
      <c r="I12" s="3"/>
    </row>
    <row r="13" ht="30" customHeight="1" spans="1:9" x14ac:dyDescent="0.25">
      <c r="A13" s="10" t="s">
        <v>737</v>
      </c>
      <c r="B13" s="10" t="s">
        <v>194</v>
      </c>
      <c r="C13" s="10" t="s">
        <v>738</v>
      </c>
      <c r="D13" s="10" t="s">
        <v>739</v>
      </c>
      <c r="E13" s="10" t="s">
        <v>740</v>
      </c>
      <c r="F13" s="10" t="s">
        <v>741</v>
      </c>
      <c r="G13" s="10" t="s">
        <v>194</v>
      </c>
      <c r="H13" s="10" t="s">
        <v>194</v>
      </c>
      <c r="I13" s="10" t="s">
        <v>194</v>
      </c>
    </row>
    <row r="14" ht="32" customHeight="1" spans="1:9" x14ac:dyDescent="0.25">
      <c r="A14" s="12" t="s">
        <v>742</v>
      </c>
      <c r="B14" s="12"/>
      <c r="C14" s="12" t="s">
        <v>743</v>
      </c>
      <c r="D14" s="12" t="s">
        <v>744</v>
      </c>
      <c r="E14" s="12" t="s">
        <v>745</v>
      </c>
      <c r="F14" s="12" t="s">
        <v>746</v>
      </c>
      <c r="G14" s="12"/>
      <c r="H14" s="12"/>
      <c r="I14" s="12"/>
    </row>
    <row r="15" ht="32" customHeight="1" spans="1:9" x14ac:dyDescent="0.25">
      <c r="A15" s="4" t="s">
        <v>747</v>
      </c>
      <c r="B15" s="4"/>
      <c r="C15" s="4" t="s">
        <v>748</v>
      </c>
      <c r="D15" s="4" t="s">
        <v>749</v>
      </c>
      <c r="E15" s="4" t="s">
        <v>750</v>
      </c>
      <c r="F15" s="4" t="s">
        <v>751</v>
      </c>
      <c r="G15" s="4"/>
      <c r="H15" s="4"/>
      <c r="I15" s="4"/>
    </row>
    <row r="16" ht="32" customHeight="1" spans="1:9" x14ac:dyDescent="0.25">
      <c r="A16" s="12" t="s">
        <v>752</v>
      </c>
      <c r="B16" s="12"/>
      <c r="C16" s="12" t="s">
        <v>753</v>
      </c>
      <c r="D16" s="12" t="s">
        <v>754</v>
      </c>
      <c r="E16" s="12" t="s">
        <v>296</v>
      </c>
      <c r="F16" s="12" t="s">
        <v>755</v>
      </c>
      <c r="G16" s="12"/>
      <c r="H16" s="12"/>
      <c r="I16" s="12"/>
    </row>
    <row r="17" ht="32" customHeight="1" spans="1:9" x14ac:dyDescent="0.25">
      <c r="A17" s="4" t="s">
        <v>756</v>
      </c>
      <c r="B17" s="4"/>
      <c r="C17" s="4" t="s">
        <v>757</v>
      </c>
      <c r="D17" s="4" t="s">
        <v>758</v>
      </c>
      <c r="E17" s="4" t="s">
        <v>759</v>
      </c>
      <c r="F17" s="4" t="s">
        <v>760</v>
      </c>
      <c r="G17" s="4"/>
      <c r="H17" s="4"/>
      <c r="I17" s="4"/>
    </row>
    <row r="18" ht="32" customHeight="1" spans="1:9" x14ac:dyDescent="0.25">
      <c r="A18" s="12" t="s">
        <v>761</v>
      </c>
      <c r="B18" s="12"/>
      <c r="C18" s="12" t="s">
        <v>762</v>
      </c>
      <c r="D18" s="12" t="s">
        <v>763</v>
      </c>
      <c r="E18" s="12" t="s">
        <v>764</v>
      </c>
      <c r="F18" s="12" t="s">
        <v>765</v>
      </c>
      <c r="G18" s="12"/>
      <c r="H18" s="12"/>
      <c r="I18" s="12"/>
    </row>
    <row r="19" ht="32" customHeight="1" spans="1:9" x14ac:dyDescent="0.25">
      <c r="A19" s="4" t="s">
        <v>766</v>
      </c>
      <c r="B19" s="4"/>
      <c r="C19" s="4" t="s">
        <v>767</v>
      </c>
      <c r="D19" s="4" t="s">
        <v>768</v>
      </c>
      <c r="E19" s="4" t="s">
        <v>769</v>
      </c>
      <c r="F19" s="4" t="s">
        <v>770</v>
      </c>
      <c r="G19" s="4"/>
      <c r="H19" s="4"/>
      <c r="I19" s="4"/>
    </row>
    <row r="20" ht="32" customHeight="1" spans="1:9" x14ac:dyDescent="0.25">
      <c r="A20" s="12" t="s">
        <v>771</v>
      </c>
      <c r="B20" s="12"/>
      <c r="C20" s="12" t="s">
        <v>772</v>
      </c>
      <c r="D20" s="12" t="s">
        <v>773</v>
      </c>
      <c r="E20" s="12" t="s">
        <v>774</v>
      </c>
      <c r="F20" s="12" t="s">
        <v>775</v>
      </c>
      <c r="G20" s="12"/>
      <c r="H20" s="12"/>
      <c r="I20" s="12"/>
    </row>
    <row r="22" ht="30" customHeight="1" spans="1:9" x14ac:dyDescent="0.25">
      <c r="A22" s="2" t="s">
        <v>776</v>
      </c>
      <c r="B22" s="2"/>
      <c r="C22" s="2"/>
      <c r="D22" s="2"/>
      <c r="E22" s="2"/>
      <c r="F22" s="2"/>
      <c r="G22" s="2"/>
      <c r="H22" s="2"/>
      <c r="I22" s="2"/>
    </row>
  </sheetData>
  <mergeCells count="18">
    <mergeCell ref="A1:I1"/>
    <mergeCell ref="A2:I2"/>
    <mergeCell ref="A12:I12"/>
    <mergeCell ref="A14:B14"/>
    <mergeCell ref="F14:I14"/>
    <mergeCell ref="A15:B15"/>
    <mergeCell ref="F15:I15"/>
    <mergeCell ref="A16:B16"/>
    <mergeCell ref="F16:I16"/>
    <mergeCell ref="A17:B17"/>
    <mergeCell ref="F17:I17"/>
    <mergeCell ref="A18:B18"/>
    <mergeCell ref="F18:I18"/>
    <mergeCell ref="A19:B19"/>
    <mergeCell ref="F19:I19"/>
    <mergeCell ref="A20:B20"/>
    <mergeCell ref="F20:I20"/>
    <mergeCell ref="A22:I2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showGridLines="0"/>
  </sheetViews>
  <sheetFormatPr defaultRowHeight="15" outlineLevelRow="0" outlineLevelCol="0" x14ac:dyDescent="55"/>
  <cols>
    <col min="1" max="1" width="24" customWidth="1"/>
    <col min="2" max="3" width="40" customWidth="1"/>
    <col min="4" max="4" width="44" customWidth="1"/>
  </cols>
  <sheetData>
    <row r="1" spans="1:4" x14ac:dyDescent="0.25">
      <c r="A1" s="1" t="s">
        <v>777</v>
      </c>
      <c r="B1" s="1"/>
      <c r="C1" s="1"/>
      <c r="D1" s="1"/>
    </row>
    <row r="2" ht="30" customHeight="1" spans="1:4" x14ac:dyDescent="0.25">
      <c r="A2" s="2" t="s">
        <v>778</v>
      </c>
      <c r="B2" s="2"/>
      <c r="C2" s="2"/>
      <c r="D2" s="2"/>
    </row>
    <row r="4" spans="1:4" x14ac:dyDescent="0.25">
      <c r="A4" s="3" t="s">
        <v>779</v>
      </c>
      <c r="B4" s="3"/>
      <c r="C4" s="3"/>
      <c r="D4" s="3"/>
    </row>
    <row r="5" ht="30" customHeight="1" spans="1:4" x14ac:dyDescent="0.25">
      <c r="A5" s="10" t="s">
        <v>780</v>
      </c>
      <c r="B5" s="10" t="s">
        <v>781</v>
      </c>
      <c r="C5" s="10" t="s">
        <v>782</v>
      </c>
      <c r="D5" s="10" t="s">
        <v>783</v>
      </c>
    </row>
    <row r="6" ht="30" customHeight="1" spans="1:4" x14ac:dyDescent="0.25">
      <c r="A6" s="5" t="s">
        <v>784</v>
      </c>
      <c r="B6" s="5" t="s">
        <v>785</v>
      </c>
      <c r="C6" s="5" t="s">
        <v>786</v>
      </c>
      <c r="D6" s="5" t="s">
        <v>787</v>
      </c>
    </row>
    <row r="7" ht="30" customHeight="1" spans="1:4" x14ac:dyDescent="0.25">
      <c r="A7" s="6" t="s">
        <v>788</v>
      </c>
      <c r="B7" s="6" t="s">
        <v>789</v>
      </c>
      <c r="C7" s="6" t="s">
        <v>790</v>
      </c>
      <c r="D7" s="6" t="s">
        <v>791</v>
      </c>
    </row>
    <row r="8" ht="30" customHeight="1" spans="1:4" x14ac:dyDescent="0.25">
      <c r="A8" s="5" t="s">
        <v>792</v>
      </c>
      <c r="B8" s="5" t="s">
        <v>793</v>
      </c>
      <c r="C8" s="5" t="s">
        <v>790</v>
      </c>
      <c r="D8" s="5" t="s">
        <v>296</v>
      </c>
    </row>
    <row r="9" ht="30" customHeight="1" spans="1:4" x14ac:dyDescent="0.25">
      <c r="A9" s="6" t="s">
        <v>794</v>
      </c>
      <c r="B9" s="6" t="s">
        <v>795</v>
      </c>
      <c r="C9" s="6" t="s">
        <v>786</v>
      </c>
      <c r="D9" s="6" t="s">
        <v>796</v>
      </c>
    </row>
    <row r="10" ht="43" customHeight="1" spans="1:4" x14ac:dyDescent="0.25">
      <c r="A10" s="5" t="s">
        <v>797</v>
      </c>
      <c r="B10" s="5" t="s">
        <v>798</v>
      </c>
      <c r="C10" s="5" t="s">
        <v>799</v>
      </c>
      <c r="D10" s="5" t="s">
        <v>800</v>
      </c>
    </row>
    <row r="11" ht="43" customHeight="1" spans="1:4" x14ac:dyDescent="0.25">
      <c r="A11" s="6" t="s">
        <v>801</v>
      </c>
      <c r="B11" s="6" t="s">
        <v>802</v>
      </c>
      <c r="C11" s="6" t="s">
        <v>803</v>
      </c>
      <c r="D11" s="6" t="s">
        <v>804</v>
      </c>
    </row>
    <row r="12" ht="30" customHeight="1" spans="1:4" x14ac:dyDescent="0.25">
      <c r="A12" s="5" t="s">
        <v>805</v>
      </c>
      <c r="B12" s="5" t="s">
        <v>806</v>
      </c>
      <c r="C12" s="5" t="s">
        <v>807</v>
      </c>
      <c r="D12" s="5" t="s">
        <v>808</v>
      </c>
    </row>
    <row r="14" spans="1:4" x14ac:dyDescent="0.25">
      <c r="A14" s="3" t="s">
        <v>809</v>
      </c>
      <c r="B14" s="3"/>
      <c r="C14" s="3"/>
      <c r="D14" s="3"/>
    </row>
    <row r="15" ht="30" customHeight="1" spans="1:4" x14ac:dyDescent="0.25">
      <c r="A15" s="5" t="s">
        <v>810</v>
      </c>
      <c r="B15" s="5" t="s">
        <v>811</v>
      </c>
      <c r="C15" s="5" t="s">
        <v>194</v>
      </c>
      <c r="D15" s="5" t="s">
        <v>194</v>
      </c>
    </row>
    <row r="16" ht="30" customHeight="1" spans="1:4" x14ac:dyDescent="0.25">
      <c r="A16" s="6" t="s">
        <v>812</v>
      </c>
      <c r="B16" s="6" t="s">
        <v>813</v>
      </c>
      <c r="C16" s="6" t="s">
        <v>194</v>
      </c>
      <c r="D16" s="6" t="s">
        <v>194</v>
      </c>
    </row>
    <row r="17" ht="43" customHeight="1" spans="1:4" x14ac:dyDescent="0.25">
      <c r="A17" s="5" t="s">
        <v>814</v>
      </c>
      <c r="B17" s="5" t="s">
        <v>815</v>
      </c>
      <c r="C17" s="5" t="s">
        <v>194</v>
      </c>
      <c r="D17" s="5" t="s">
        <v>194</v>
      </c>
    </row>
    <row r="18" ht="43" customHeight="1" spans="1:4" x14ac:dyDescent="0.25">
      <c r="A18" s="6" t="s">
        <v>816</v>
      </c>
      <c r="B18" s="6" t="s">
        <v>817</v>
      </c>
      <c r="C18" s="6" t="s">
        <v>194</v>
      </c>
      <c r="D18" s="6" t="s">
        <v>194</v>
      </c>
    </row>
    <row r="19" ht="43" customHeight="1" spans="1:4" x14ac:dyDescent="0.25">
      <c r="A19" s="5" t="s">
        <v>818</v>
      </c>
      <c r="B19" s="5" t="s">
        <v>819</v>
      </c>
      <c r="C19" s="5" t="s">
        <v>194</v>
      </c>
      <c r="D19" s="5" t="s">
        <v>194</v>
      </c>
    </row>
    <row r="21" spans="1:4" x14ac:dyDescent="0.25">
      <c r="A21" s="3" t="s">
        <v>820</v>
      </c>
      <c r="B21" s="3"/>
      <c r="C21" s="3"/>
      <c r="D21" s="3"/>
    </row>
    <row r="22" ht="30" customHeight="1" spans="1:4" x14ac:dyDescent="0.25">
      <c r="A22" s="10" t="s">
        <v>821</v>
      </c>
      <c r="B22" s="10" t="s">
        <v>621</v>
      </c>
      <c r="C22" s="10" t="s">
        <v>822</v>
      </c>
      <c r="D22" s="10" t="s">
        <v>823</v>
      </c>
    </row>
    <row r="23" ht="30" customHeight="1" spans="1:4" x14ac:dyDescent="0.25">
      <c r="A23" s="5" t="s">
        <v>824</v>
      </c>
      <c r="B23" s="5" t="s">
        <v>209</v>
      </c>
      <c r="C23" s="5" t="s">
        <v>825</v>
      </c>
      <c r="D23" s="5" t="s">
        <v>826</v>
      </c>
    </row>
    <row r="24" ht="30" customHeight="1" spans="1:4" x14ac:dyDescent="0.25">
      <c r="A24" s="6" t="s">
        <v>827</v>
      </c>
      <c r="B24" s="6" t="s">
        <v>205</v>
      </c>
      <c r="C24" s="6" t="s">
        <v>828</v>
      </c>
      <c r="D24" s="6" t="s">
        <v>829</v>
      </c>
    </row>
    <row r="25" ht="30" customHeight="1" spans="1:4" x14ac:dyDescent="0.25">
      <c r="A25" s="5" t="s">
        <v>830</v>
      </c>
      <c r="B25" s="5" t="s">
        <v>209</v>
      </c>
      <c r="C25" s="5" t="s">
        <v>831</v>
      </c>
      <c r="D25" s="5" t="s">
        <v>832</v>
      </c>
    </row>
    <row r="26" ht="30" customHeight="1" spans="1:4" x14ac:dyDescent="0.25">
      <c r="A26" s="6" t="s">
        <v>833</v>
      </c>
      <c r="B26" s="6" t="s">
        <v>201</v>
      </c>
      <c r="C26" s="6" t="s">
        <v>834</v>
      </c>
      <c r="D26" s="6" t="s">
        <v>835</v>
      </c>
    </row>
    <row r="27" ht="43" customHeight="1" spans="1:4" x14ac:dyDescent="0.25">
      <c r="A27" s="5" t="s">
        <v>836</v>
      </c>
      <c r="B27" s="5" t="s">
        <v>837</v>
      </c>
      <c r="C27" s="5" t="s">
        <v>834</v>
      </c>
      <c r="D27" s="5" t="s">
        <v>838</v>
      </c>
    </row>
    <row r="29" spans="1:4" x14ac:dyDescent="0.25">
      <c r="A29" s="3" t="s">
        <v>839</v>
      </c>
      <c r="B29" s="3"/>
      <c r="C29" s="3"/>
      <c r="D29" s="3"/>
    </row>
    <row r="30" ht="30" customHeight="1" spans="1:4" x14ac:dyDescent="0.25">
      <c r="A30" s="10" t="s">
        <v>840</v>
      </c>
      <c r="B30" s="10" t="s">
        <v>643</v>
      </c>
      <c r="C30" s="10" t="s">
        <v>841</v>
      </c>
      <c r="D30" s="10" t="s">
        <v>842</v>
      </c>
    </row>
    <row r="31" ht="43" customHeight="1" spans="1:4" x14ac:dyDescent="0.25">
      <c r="A31" s="5" t="s">
        <v>843</v>
      </c>
      <c r="B31" s="5" t="s">
        <v>844</v>
      </c>
      <c r="C31" s="5" t="s">
        <v>845</v>
      </c>
      <c r="D31" s="5" t="s">
        <v>846</v>
      </c>
    </row>
    <row r="32" ht="43" customHeight="1" spans="1:4" x14ac:dyDescent="0.25">
      <c r="A32" s="6" t="s">
        <v>847</v>
      </c>
      <c r="B32" s="6" t="s">
        <v>848</v>
      </c>
      <c r="C32" s="6" t="s">
        <v>849</v>
      </c>
      <c r="D32" s="6" t="s">
        <v>850</v>
      </c>
    </row>
    <row r="33" ht="30" customHeight="1" spans="1:4" x14ac:dyDescent="0.25">
      <c r="A33" s="5" t="s">
        <v>851</v>
      </c>
      <c r="B33" s="5" t="s">
        <v>852</v>
      </c>
      <c r="C33" s="5" t="s">
        <v>853</v>
      </c>
      <c r="D33" s="5" t="s">
        <v>296</v>
      </c>
    </row>
    <row r="34" ht="30" customHeight="1" spans="1:4" x14ac:dyDescent="0.25">
      <c r="A34" s="6" t="s">
        <v>854</v>
      </c>
      <c r="B34" s="6" t="s">
        <v>855</v>
      </c>
      <c r="C34" s="6" t="s">
        <v>856</v>
      </c>
      <c r="D34" s="6" t="s">
        <v>857</v>
      </c>
    </row>
    <row r="36" spans="1:4" x14ac:dyDescent="0.25">
      <c r="A36" s="3" t="s">
        <v>858</v>
      </c>
      <c r="B36" s="3"/>
      <c r="C36" s="3"/>
      <c r="D36" s="3"/>
    </row>
    <row r="37" ht="30" customHeight="1" spans="1:4" x14ac:dyDescent="0.25">
      <c r="A37" s="10" t="s">
        <v>859</v>
      </c>
      <c r="B37" s="10" t="s">
        <v>860</v>
      </c>
      <c r="C37" s="10" t="s">
        <v>861</v>
      </c>
      <c r="D37" s="10" t="s">
        <v>862</v>
      </c>
    </row>
    <row r="38" ht="30" customHeight="1" spans="1:4" x14ac:dyDescent="0.25">
      <c r="A38" s="5" t="s">
        <v>323</v>
      </c>
      <c r="B38" s="5" t="s">
        <v>863</v>
      </c>
      <c r="C38" s="5" t="s">
        <v>864</v>
      </c>
      <c r="D38" s="5" t="s">
        <v>865</v>
      </c>
    </row>
    <row r="39" ht="30" customHeight="1" spans="1:4" x14ac:dyDescent="0.25">
      <c r="A39" s="6" t="s">
        <v>353</v>
      </c>
      <c r="B39" s="6" t="s">
        <v>866</v>
      </c>
      <c r="C39" s="6" t="s">
        <v>867</v>
      </c>
      <c r="D39" s="6" t="s">
        <v>868</v>
      </c>
    </row>
    <row r="40" ht="30" customHeight="1" spans="1:4" x14ac:dyDescent="0.25">
      <c r="A40" s="5" t="s">
        <v>379</v>
      </c>
      <c r="B40" s="5" t="s">
        <v>869</v>
      </c>
      <c r="C40" s="5" t="s">
        <v>870</v>
      </c>
      <c r="D40" s="5" t="s">
        <v>871</v>
      </c>
    </row>
    <row r="41" ht="30" customHeight="1" spans="1:4" x14ac:dyDescent="0.25">
      <c r="A41" s="6" t="s">
        <v>405</v>
      </c>
      <c r="B41" s="6" t="s">
        <v>872</v>
      </c>
      <c r="C41" s="6" t="s">
        <v>873</v>
      </c>
      <c r="D41" s="6" t="s">
        <v>874</v>
      </c>
    </row>
    <row r="42" ht="30" customHeight="1" spans="1:4" x14ac:dyDescent="0.25">
      <c r="A42" s="5" t="s">
        <v>430</v>
      </c>
      <c r="B42" s="5" t="s">
        <v>875</v>
      </c>
      <c r="C42" s="5" t="s">
        <v>876</v>
      </c>
      <c r="D42" s="5" t="s">
        <v>877</v>
      </c>
    </row>
    <row r="43" ht="30" customHeight="1" spans="1:4" x14ac:dyDescent="0.25">
      <c r="A43" s="6" t="s">
        <v>456</v>
      </c>
      <c r="B43" s="6" t="s">
        <v>878</v>
      </c>
      <c r="C43" s="6" t="s">
        <v>879</v>
      </c>
      <c r="D43" s="6" t="s">
        <v>880</v>
      </c>
    </row>
  </sheetData>
  <mergeCells count="7">
    <mergeCell ref="A1:D1"/>
    <mergeCell ref="A2:D2"/>
    <mergeCell ref="A4:D4"/>
    <mergeCell ref="A14:D14"/>
    <mergeCell ref="A21:D21"/>
    <mergeCell ref="A29:D29"/>
    <mergeCell ref="A36:D36"/>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howGridLines="0"/>
  </sheetViews>
  <sheetFormatPr defaultRowHeight="15" outlineLevelRow="0" outlineLevelCol="0" x14ac:dyDescent="55"/>
  <cols>
    <col min="1" max="1" width="22" customWidth="1"/>
    <col min="2" max="2" width="60" customWidth="1"/>
    <col min="3" max="3" width="56" customWidth="1"/>
  </cols>
  <sheetData>
    <row r="1" spans="1:3" x14ac:dyDescent="0.25">
      <c r="A1" s="1" t="s">
        <v>881</v>
      </c>
      <c r="B1" s="1"/>
      <c r="C1" s="1"/>
    </row>
    <row r="2" ht="30" customHeight="1" spans="1:3" x14ac:dyDescent="0.25">
      <c r="A2" s="2" t="s">
        <v>882</v>
      </c>
      <c r="B2" s="2"/>
      <c r="C2" s="2"/>
    </row>
    <row r="4" ht="30" customHeight="1" spans="1:3" x14ac:dyDescent="0.25">
      <c r="A4" s="10" t="s">
        <v>235</v>
      </c>
      <c r="B4" s="10" t="s">
        <v>883</v>
      </c>
      <c r="C4" s="10" t="s">
        <v>884</v>
      </c>
    </row>
    <row r="5" ht="43" customHeight="1" spans="1:3" x14ac:dyDescent="0.25">
      <c r="A5" s="5" t="s">
        <v>885</v>
      </c>
      <c r="B5" s="5" t="s">
        <v>886</v>
      </c>
      <c r="C5" s="5" t="s">
        <v>887</v>
      </c>
    </row>
    <row r="6" ht="43" customHeight="1" spans="1:3" x14ac:dyDescent="0.25">
      <c r="A6" s="6" t="s">
        <v>888</v>
      </c>
      <c r="B6" s="6" t="s">
        <v>889</v>
      </c>
      <c r="C6" s="6" t="s">
        <v>890</v>
      </c>
    </row>
    <row r="7" ht="43" customHeight="1" spans="1:3" x14ac:dyDescent="0.25">
      <c r="A7" s="5" t="s">
        <v>891</v>
      </c>
      <c r="B7" s="5" t="s">
        <v>892</v>
      </c>
      <c r="C7" s="5" t="s">
        <v>893</v>
      </c>
    </row>
    <row r="8" ht="56" customHeight="1" spans="1:3" x14ac:dyDescent="0.25">
      <c r="A8" s="6" t="s">
        <v>894</v>
      </c>
      <c r="B8" s="6" t="s">
        <v>895</v>
      </c>
      <c r="C8" s="6" t="s">
        <v>896</v>
      </c>
    </row>
    <row r="9" ht="43" customHeight="1" spans="1:3" x14ac:dyDescent="0.25">
      <c r="A9" s="5" t="s">
        <v>897</v>
      </c>
      <c r="B9" s="5" t="s">
        <v>898</v>
      </c>
      <c r="C9" s="5" t="s">
        <v>899</v>
      </c>
    </row>
    <row r="10" ht="30" customHeight="1" spans="1:3" x14ac:dyDescent="0.25">
      <c r="A10" s="6" t="s">
        <v>900</v>
      </c>
      <c r="B10" s="6" t="s">
        <v>901</v>
      </c>
      <c r="C10" s="6" t="s">
        <v>902</v>
      </c>
    </row>
    <row r="11" ht="30" customHeight="1" spans="1:3" x14ac:dyDescent="0.25">
      <c r="A11" s="5" t="s">
        <v>903</v>
      </c>
      <c r="B11" s="5" t="s">
        <v>904</v>
      </c>
      <c r="C11" s="5" t="s">
        <v>905</v>
      </c>
    </row>
    <row r="12" ht="43" customHeight="1" spans="1:3" x14ac:dyDescent="0.25">
      <c r="A12" s="6" t="s">
        <v>906</v>
      </c>
      <c r="B12" s="6" t="s">
        <v>907</v>
      </c>
      <c r="C12" s="6" t="s">
        <v>908</v>
      </c>
    </row>
    <row r="13" ht="30" customHeight="1" spans="1:3" x14ac:dyDescent="0.25">
      <c r="A13" s="5" t="s">
        <v>909</v>
      </c>
      <c r="B13" s="5" t="s">
        <v>910</v>
      </c>
      <c r="C13" s="5" t="s">
        <v>911</v>
      </c>
    </row>
    <row r="14" ht="43" customHeight="1" spans="1:3" x14ac:dyDescent="0.25">
      <c r="A14" s="6" t="s">
        <v>912</v>
      </c>
      <c r="B14" s="6" t="s">
        <v>913</v>
      </c>
      <c r="C14" s="6" t="s">
        <v>914</v>
      </c>
    </row>
    <row r="15" ht="43" customHeight="1" spans="1:3" x14ac:dyDescent="0.25">
      <c r="A15" s="5" t="s">
        <v>915</v>
      </c>
      <c r="B15" s="5" t="s">
        <v>916</v>
      </c>
      <c r="C15" s="5" t="s">
        <v>917</v>
      </c>
    </row>
    <row r="16" ht="56" customHeight="1" spans="1:3" x14ac:dyDescent="0.25">
      <c r="A16" s="6" t="s">
        <v>918</v>
      </c>
      <c r="B16" s="6" t="s">
        <v>919</v>
      </c>
      <c r="C16" s="6" t="s">
        <v>920</v>
      </c>
    </row>
    <row r="17" ht="69" customHeight="1" spans="1:3" x14ac:dyDescent="0.25">
      <c r="A17" s="5" t="s">
        <v>921</v>
      </c>
      <c r="B17" s="5" t="s">
        <v>922</v>
      </c>
      <c r="C17" s="5" t="s">
        <v>923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Competitive Analysis</vt:lpstr>
      <vt:lpstr>v1 Evaluation</vt:lpstr>
      <vt:lpstr>Questions v2</vt:lpstr>
      <vt:lpstr>Context Questions</vt:lpstr>
      <vt:lpstr>Scoring Model</vt:lpstr>
      <vt:lpstr>Result Profiles</vt:lpstr>
      <vt:lpstr>Service Routing</vt:lpstr>
      <vt:lpstr>Lead Capture &amp; Scoring</vt:lpstr>
      <vt:lpstr>Launch &amp; Traffic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2026-09-16T08:10:45Z</dcterms:created>
  <dcterms:modified xsi:type="dcterms:W3CDTF">2026-09-16T08:10:45Z</dcterms:modified>
</cp:coreProperties>
</file>