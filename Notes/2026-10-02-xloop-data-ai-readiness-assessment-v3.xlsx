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Competitive Analysis" state="visible" r:id="rId5"/>
    <sheet sheetId="3" name="Changes v2 to v3" state="visible" r:id="rId6"/>
    <sheet sheetId="4" name="Questions v3" state="visible" r:id="rId7"/>
    <sheet sheetId="5" name="Context Questions" state="visible" r:id="rId8"/>
    <sheet sheetId="6" name="Scoring Model" state="visible" r:id="rId9"/>
    <sheet sheetId="7" name="Result Profiles" state="visible" r:id="rId10"/>
    <sheet sheetId="8" name="Service Routing" state="visible" r:id="rId11"/>
    <sheet sheetId="9" name="Lead Capture &amp; Scoring" state="visible" r:id="rId12"/>
    <sheet sheetId="10" name="Launch &amp; Traffic" state="visible" r:id="rId13"/>
  </sheets>
  <calcPr calcId="171027" fullCalcOnLoad="1"/>
</workbook>
</file>

<file path=xl/sharedStrings.xml><?xml version="1.0" encoding="utf-8"?>
<sst xmlns="http://schemas.openxmlformats.org/spreadsheetml/2006/main" count="1458" uniqueCount="959">
  <si>
    <t>Data &amp; AI Readiness Assessment v3</t>
  </si>
  <si>
    <t>Prepared 2026-10-02. Supersedes v2 (2026-09-16, GenAI only) and the 24-question v1. For Release 1, shipping with homepage v2 by Fri 31 Oct 2026. Internal working file, not public copy.</t>
  </si>
  <si>
    <t>Why v3 exists</t>
  </si>
  <si>
    <t>v2 scored readiness for a GenAI use case. The positioning has moved to data and AI together: the homepage now opens on data and AI, Section III is a Data &amp; AI diagnostic, and the tool itself is called the Data &amp; AI Readiness tool. A GenAI-only quiz leaves out the buyer xLoop has the most proof for, the Data Modernization Owner (ICP 2), whose words are "everyone wants AI but our data is fragmented" and "dashboards don’t match". v3 scores the data foundation as a first-class half of the diagnostic, so a company whose real problem is reporting, pipelines or legacy systems gets a result that names that and routes to the data pages.</t>
  </si>
  <si>
    <t>What changed from v2</t>
  </si>
  <si>
    <t>Two scores become three</t>
  </si>
  <si>
    <t>Data Foundation · AI Delivery · Safe to Scale. The picture (2×2) is Data against AI; Safe to Scale sits alongside it as its own score plus the blocker rule, so security still carries weight without crowding out data.</t>
  </si>
  <si>
    <t>Data goes from 3 questions to 6</t>
  </si>
  <si>
    <t>Two data domains: Data Access &amp; Integration (where it lives, how it moves, whether core systems can exchange it) and Data Trust &amp; Meaning (do two teams’ numbers match, who owns correctness, what shape the documents are in).</t>
  </si>
  <si>
    <t>The use-case question now includes data outcomes</t>
  </si>
  <si>
    <t>Trusted reporting numbers, forecasting, and getting off legacy systems sit beside the GenAI options, so a data buyer never has to pick an AI answer that isn’t their problem.</t>
  </si>
  <si>
    <t>Only two next steps, both of which exist today</t>
  </si>
  <si>
    <t>The 30-minute Data &amp; AI Readiness Review (live on the homepage) and the AI Security Assessment (built). v2 named four offers that needed defining first; that was a launch risk for an Oct 31 ship.</t>
  </si>
  <si>
    <t>Dropped as scored questions</t>
  </si>
  <si>
    <t>Checking output quality before release, drift and cost monitoring, and AI-specific (red team) testing. All three stay in the report narrative and the paid review. Reason: hold the tool at 18 questions, about 6 minutes.</t>
  </si>
  <si>
    <t>Ties break toward data</t>
  </si>
  <si>
    <t>When two domains are equally weak, the recommendation goes to the data one. This is deliberate and matches the positioning.</t>
  </si>
  <si>
    <t>US spelling</t>
  </si>
  <si>
    <t>v2 used British forms (prioritisation, organisation, anonymised). v3 is US throughout, per the brand profile.</t>
  </si>
  <si>
    <t>Downstream edits this change creates</t>
  </si>
  <si>
    <t>Homepage v2, Section III</t>
  </si>
  <si>
    <t>Version B copy says "two scores, ready to build and safe to scale". Update to the three scores and the "Is your data ready for AI?" heading, which the tool now shares.</t>
  </si>
  <si>
    <t>LinkedIn plan, W2 (Mon 12 Oct)</t>
  </si>
  <si>
    <t>The tool announcement post says what it checks. Update to data foundation, AI delivery and safe to scale.</t>
  </si>
  <si>
    <t>Farrukh’s review copy</t>
  </si>
  <si>
    <t>He is reviewing the earlier version. Send v3 with this tab, so the review is on the right design.</t>
  </si>
  <si>
    <t>Blog Track B</t>
  </si>
  <si>
    <t>B2 (data readiness) and B5 (what you get from the assessment) should describe the three scores and link to the tool once live.</t>
  </si>
  <si>
    <t>What is in each tab</t>
  </si>
  <si>
    <t>Competitive Analysis</t>
  </si>
  <si>
    <t>Two sets of competitors now: AI readiness tools and data readiness/maturity tools. Ends with the market patterns and where the combined data-plus-AI position is still open.</t>
  </si>
  <si>
    <t>Changes v2 to v3</t>
  </si>
  <si>
    <t>Every change with its reason, plus the v1 problems that stay fixed (including the scoring bug where the lowest possible score was 25%).</t>
  </si>
  <si>
    <t>Questions v3</t>
  </si>
  <si>
    <t>The 18 scored questions in order, with four concrete answers scored 0–3, "Not sure", blocker and core flags, what each answer tells sales, and where it came from in v1/v2.</t>
  </si>
  <si>
    <t>Context Questions</t>
  </si>
  <si>
    <t>4 unscored questions (initiative, role, industry, timeline), one row per option, with routing and ICP mapping.</t>
  </si>
  <si>
    <t>Scoring Model</t>
  </si>
  <si>
    <t>Working calculator: type example answers in the blue cells to get the three scores, the profile, the guardrail state, blockers and the page it routes to. Full/Short switch included.</t>
  </si>
  <si>
    <t>Result Profiles</t>
  </si>
  <si>
    <t>The 4 profiles, the guardrail overlay, and the results-page copy for each.</t>
  </si>
  <si>
    <t>Service Routing</t>
  </si>
  <si>
    <t>Each domain, initiative and industry mapped to a live page, a next step, offering maturity, approved proof IDs and what is on hold.</t>
  </si>
  <si>
    <t>Lead Capture &amp; Scoring</t>
  </si>
  <si>
    <t>What is asked at each stage, CRM fields, intent points and lead priority A/B/C/Exclude, mapped to the qualification framework.</t>
  </si>
  <si>
    <t>Launch &amp; Traffic</t>
  </si>
  <si>
    <t>Release 1 copy, SEO/AEO, service-page starters, GA4 events, and how the tool gets traffic given that 99% of current search is brand.</t>
  </si>
  <si>
    <t>Cell colour legend</t>
  </si>
  <si>
    <t>Blue text</t>
  </si>
  <si>
    <t>Input you can change (example answers, weights, thresholds).</t>
  </si>
  <si>
    <t>Black text</t>
  </si>
  <si>
    <t>Formula or fixed label. Do not overwrite formulas.</t>
  </si>
  <si>
    <t>Green text</t>
  </si>
  <si>
    <t>Formula that pulls from another tab.</t>
  </si>
  <si>
    <t>Yellow fill</t>
  </si>
  <si>
    <t>Needs a human decision or a downstream edit before launch.</t>
  </si>
  <si>
    <t>Decisions needed before launch</t>
  </si>
  <si>
    <t>1. Scores on the homepage</t>
  </si>
  <si>
    <t>Confirm the homepage shows all three scores, or just the 2×2 picture with Safe to Scale underneath.</t>
  </si>
  <si>
    <t>2. Naming clients in the report</t>
  </si>
  <si>
    <t>The report can cite approved claims anonymized (A9, A14, A12). Naming Pick n Pay or SS&amp;C is Sana’s call; the brand profile says do not name them, so the default here is anonymized.</t>
  </si>
  <si>
    <t>3. Weights</t>
  </si>
  <si>
    <t>Data, AI and Safe are weighted equally in the overall score. If data leads the positioning, consider weighting it higher. Editable in Scoring Model.</t>
  </si>
  <si>
    <t>4. Thresholds</t>
  </si>
  <si>
    <t>50% on each axis, and "blocker = score of 1 or less", are starting assumptions. Review after the first 50 completions.</t>
  </si>
  <si>
    <t>5. Pages on hold</t>
  </si>
  <si>
    <t>Legacy System Modernization and the Mining industry page are Release 2 (Nov 30). Keep those links off until they are live.</t>
  </si>
  <si>
    <t>6. Lead rules</t>
  </si>
  <si>
    <t>Intent points and priority rules marked Proposed need marketing and sales sign-off; they feed the week-1 lead tracker.</t>
  </si>
  <si>
    <t>7. GA4</t>
  </si>
  <si>
    <t>The assessment needs its own events. Today every form is one `form_submission` key event, so the tool would be invisible in reporting.</t>
  </si>
  <si>
    <t>Sources used</t>
  </si>
  <si>
    <t>Earlier versions</t>
  </si>
  <si>
    <t>Downloads/Gen_AI_Readiness_Assessment_FINAL.xlsx (v1) · Notes/2026-09-16-genai-readiness-assessment-v2.xlsx</t>
  </si>
  <si>
    <t>Positioning and plan</t>
  </si>
  <si>
    <t>Notes/2026-09-18-xloop-homepage-revamp-review.md · Notes/2026-09-23-xloop-marketing-scrum-q2-q3-plan.md · Notes/2026-09-28-xloop-linkedin-thought-leadership-plan-q2.md · Reference/brands/xloop.md</t>
  </si>
  <si>
    <t>Claims, ICPs, offerings</t>
  </si>
  <si>
    <t>Projects/xloop-marketing-brain: approved_claims, prohibited_claims, offering_inventory, icp_master, buyer_personas, qualification_framework, brand_voice, jargon_to_avoid</t>
  </si>
  <si>
    <t>Competitor research</t>
  </si>
  <si>
    <t>Public pages, 2026-09-16 and 2026-10-02. See the Source URL column in Competitive Analysis.</t>
  </si>
  <si>
    <t>Competitive analysis: who else offers a readiness diagnostic</t>
  </si>
  <si>
    <t>Two groups, because v3 competes in both: AI readiness tools and data readiness/maturity tools. "Page read" = the page itself was reviewed; "Listing only" = from a search listing or roundup, worth a spot check.</t>
  </si>
  <si>
    <t>Group 1: AI readiness tools (reviewed 2026-09-16)</t>
  </si>
  <si>
    <t>Vendor</t>
  </si>
  <si>
    <t>Type</t>
  </si>
  <si>
    <t>Format</t>
  </si>
  <si>
    <t>Length</t>
  </si>
  <si>
    <t>Dimensions</t>
  </si>
  <si>
    <t>Gating</t>
  </si>
  <si>
    <t>Output</t>
  </si>
  <si>
    <t>What it means for xLoop</t>
  </si>
  <si>
    <t>Verification</t>
  </si>
  <si>
    <t>Source URL</t>
  </si>
  <si>
    <t>10Pearls</t>
  </si>
  <si>
    <t>Direct competitor (US / Pakistan)</t>
  </si>
  <si>
    <t>Quiz + paid 4–6 week assessment</t>
  </si>
  <si>
    <t>20 questions</t>
  </si>
  <si>
    <t>Strategy &amp; Vision; Data Readiness; Technology Infrastructure; Talent &amp; Skill; Governance &amp; Ethics</t>
  </si>
  <si>
    <t>Gated before starting: 7 fields</t>
  </si>
  <si>
    <t>Score across 5 domains, roadmap, "Let’s connect"</t>
  </si>
  <si>
    <t>The pattern to avoid. Data is one of five generic pillars, not a real diagnosis.</t>
  </si>
  <si>
    <t>Page read</t>
  </si>
  <si>
    <t>https://10pearls.com/ai-assessment/</t>
  </si>
  <si>
    <t>Microsoft AI Readiness Wizard</t>
  </si>
  <si>
    <t>Platform vendor</t>
  </si>
  <si>
    <t>Wizard</t>
  </si>
  <si>
    <t>10 questions</t>
  </si>
  <si>
    <t>Business Strategy; Technology &amp; Data; AI Strategy &amp; Experience; Organization &amp; Culture; Governance &amp; Security</t>
  </si>
  <si>
    <t>None</t>
  </si>
  <si>
    <t>Score + Microsoft resources</t>
  </si>
  <si>
    <t>The free benchmark most buyers have seen. Sets the expectation: short and ungated.</t>
  </si>
  <si>
    <t>https://adoption.microsoft.com/en-us/ai-readiness-wizard/</t>
  </si>
  <si>
    <t>Cisco AI Readiness Index</t>
  </si>
  <si>
    <t>Tool + global survey</t>
  </si>
  <si>
    <t>49 metrics</t>
  </si>
  <si>
    <t>Strategy; Infrastructure; Data; Governance; Talent; Culture</t>
  </si>
  <si>
    <t>Score + peer groups (Pacesetters to Laggards)</t>
  </si>
  <si>
    <t>Its peer benchmarks rest on a real survey. xLoop has none, so no percentiles at launch.</t>
  </si>
  <si>
    <t>Listing only</t>
  </si>
  <si>
    <t>https://www.cisco.com/c/m/en_us/solutions/ai/readiness-index/assessment-tool.html</t>
  </si>
  <si>
    <t>Augmentry</t>
  </si>
  <si>
    <t>AI consultancy</t>
  </si>
  <si>
    <t>Tool</t>
  </si>
  <si>
    <t>40 questions, ~10 min</t>
  </si>
  <si>
    <t>8 dimensions including Data Maturity, MLOps, Security &amp; Privacy</t>
  </si>
  <si>
    <t>Contact details at step 1 of 9</t>
  </si>
  <si>
    <t>1–5 level, dimension scores, industry percentile, PDF, discovery call</t>
  </si>
  <si>
    <t>The closest match to v1’s 8 domains. Long and gated up front.</t>
  </si>
  <si>
    <t>https://www.augmentry.ai/resources-ai-readiness-tool</t>
  </si>
  <si>
    <t>Kudo Advisory</t>
  </si>
  <si>
    <t>GCC boutique (UAE)</t>
  </si>
  <si>
    <t>Quiz</t>
  </si>
  <si>
    <t>10 questions, ~3 min</t>
  </si>
  <si>
    <t>Strategy; Governance; Operating model; Data; Talent; Delivery</t>
  </si>
  <si>
    <t>Instant score + tailored report</t>
  </si>
  <si>
    <t>Short, ungated and aimed at CIOs in a market xLoop sells into.</t>
  </si>
  <si>
    <t>https://www.kudoadvisory.com/ai-readiness-assessment</t>
  </si>
  <si>
    <t>HEMOdata</t>
  </si>
  <si>
    <t>GCC data consultancy (UAE)</t>
  </si>
  <si>
    <t>Diagnostic + consult</t>
  </si>
  <si>
    <t>50 questions, 10 dimensions, ~15 min</t>
  </si>
  <si>
    <t>Calibrated to GCC regulation (NDMO, PDPL)</t>
  </si>
  <si>
    <t>Not confirmed</t>
  </si>
  <si>
    <t>Score, breakdown, prioritized gaps</t>
  </si>
  <si>
    <t>The closest regional competitor on the data angle: "the gap is rarely the model, it is everything underneath".</t>
  </si>
  <si>
    <t>Page read (article)</t>
  </si>
  <si>
    <t>https://www.hemodata.me/the-uae-ai-readiness-question-are-organizations-ready-to-scale/</t>
  </si>
  <si>
    <t>Folio3</t>
  </si>
  <si>
    <t>Direct competitor (Pakistan / US)</t>
  </si>
  <si>
    <t>Consulting, no self-serve tool</t>
  </si>
  <si>
    <t>2–3 weeks</t>
  </si>
  <si>
    <t>"AIR Framework": Data; Technology; Talent; Governance; Strategy</t>
  </si>
  <si>
    <t>Discovery call</t>
  </si>
  <si>
    <t>Scorecard, gap analysis, use-case map, roadmap</t>
  </si>
  <si>
    <t>Pakistani peers sell the assessment as a service. A free self-serve tool is still open ground among them.</t>
  </si>
  <si>
    <t>https://www.folio3.ai/ai-enablement/ai-readiness-assessment</t>
  </si>
  <si>
    <t>tkxel</t>
  </si>
  <si>
    <t>One session</t>
  </si>
  <si>
    <t>Goals, workflows, data quality, integrations, security</t>
  </si>
  <si>
    <t>Consultation</t>
  </si>
  <si>
    <t>Readiness report, use-case map, 90-day roadmap</t>
  </si>
  <si>
    <t>Leads with a 90-day plan; the v3 report should too.</t>
  </si>
  <si>
    <t>https://tkxel.com/services/ai-consulting/</t>
  </si>
  <si>
    <t>Accenture (Art of AI Maturity)</t>
  </si>
  <si>
    <t>Global consultancy research</t>
  </si>
  <si>
    <t>Research report</t>
  </si>
  <si>
    <t>n/a</t>
  </si>
  <si>
    <t>2×2: foundational vs differentiating capability</t>
  </si>
  <si>
    <t>Segmentation (Achievers, Builders, Innovators, Experimenters)</t>
  </si>
  <si>
    <t>A 2×2 already exists in research, so xLoop’s axes must differ. Data against AI does.</t>
  </si>
  <si>
    <t>https://www.accenture.com/gb-en/insights/artificial-intelligence/ai-maturity-and-transformation</t>
  </si>
  <si>
    <t>Group 2: data readiness and data maturity tools (reviewed 2026-10-02)</t>
  </si>
  <si>
    <t>DataCamp</t>
  </si>
  <si>
    <t>Training vendor</t>
  </si>
  <si>
    <t>Self-serve (Outgrow)</t>
  </si>
  <si>
    <t>26 questions, under 15 min</t>
  </si>
  <si>
    <t>IPTOP: Infrastructure; People; Tools; Organization; Processes, plus a generative AI component</t>
  </si>
  <si>
    <t>Email after completing, results by email</t>
  </si>
  <si>
    <t>4 stages: Data Reactive, Data Scaling, Data Progressive, Data Literate</t>
  </si>
  <si>
    <t>The closest thing to a combined data-and-AI tool, but it sells training, so every result leads to skills. xLoop’s results lead to the data and AI work itself.</t>
  </si>
  <si>
    <t>https://www.datacamp.com/report/datacamp-data-maturity-assessment</t>
  </si>
  <si>
    <t>Eunoia</t>
  </si>
  <si>
    <t>Data consultancy</t>
  </si>
  <si>
    <t>Typeform diagnostic</t>
  </si>
  <si>
    <t>"Two minutes"</t>
  </si>
  <si>
    <t>People; Processes; Technology; Decision opportunity</t>
  </si>
  <si>
    <t>3 tiers (Foundation First, Ready to Prioritise, Decision Audit Ready), each routing to a service</t>
  </si>
  <si>
    <t>The only competitor found that routes results to its own services, which is exactly v3’s mechanism. It is very short and data-only, with no AI delivery or security view.</t>
  </si>
  <si>
    <t>https://eunoia.tech/data-readiness-assessment/</t>
  </si>
  <si>
    <t>Digital Catapult (AI Adoption Toolkit)</t>
  </si>
  <si>
    <t>Public innovation body (UK)</t>
  </si>
  <si>
    <t>Self-serve</t>
  </si>
  <si>
    <t>Not stated</t>
  </si>
  <si>
    <t>Metadata &amp; References; Data Profile &amp; Quality; Lineage; Governance &amp; Accessibility; Data Ethics</t>
  </si>
  <si>
    <t>Scores across 5 data dimensions</t>
  </si>
  <si>
    <t>Deeply technical and data-only. Useful as evidence that buyers accept detailed data questions.</t>
  </si>
  <si>
    <t>https://apps.digicatapult.org.uk/ai-adoption-toolkit/data-readiness-assessment/</t>
  </si>
  <si>
    <t>Data Orchard</t>
  </si>
  <si>
    <t>Nonprofit sector specialist (UK)</t>
  </si>
  <si>
    <t>Self-serve + benchmark</t>
  </si>
  <si>
    <t>~20 min</t>
  </si>
  <si>
    <t>Data maturity journey across 7 themes</t>
  </si>
  <si>
    <t>Free tier</t>
  </si>
  <si>
    <t>Report + sector benchmark</t>
  </si>
  <si>
    <t>Shows the pull of benchmarking. Something xLoop can offer only after it has real responses.</t>
  </si>
  <si>
    <t>https://www.dataorchard.org.uk/data-maturity-assessment-tool</t>
  </si>
  <si>
    <t>Atlan</t>
  </si>
  <si>
    <t>Data catalog vendor</t>
  </si>
  <si>
    <t>Free tools portal</t>
  </si>
  <si>
    <t>Short</t>
  </si>
  <si>
    <t>Data catalog maturity</t>
  </si>
  <si>
    <t>Mostly no signup</t>
  </si>
  <si>
    <t>Benchmark + recommendations</t>
  </si>
  <si>
    <t>Platform vendors are moving into this with free tools. Their angle is the catalog, not the business outcome.</t>
  </si>
  <si>
    <t>https://tools.atlan.com/</t>
  </si>
  <si>
    <t>Alation</t>
  </si>
  <si>
    <t>Data Culture Maturity Assessment</t>
  </si>
  <si>
    <t>Data culture</t>
  </si>
  <si>
    <t>Maturity + value framing</t>
  </si>
  <si>
    <t>Culture-led, aimed at existing data teams rather than a first AI use case.</t>
  </si>
  <si>
    <t>https://www.alation.com/news-and-press/data-culture-maturity-assessment-launch/</t>
  </si>
  <si>
    <t>data.org</t>
  </si>
  <si>
    <t>Nonprofit</t>
  </si>
  <si>
    <t>Strategy; Infrastructure; Talent; AI readiness</t>
  </si>
  <si>
    <t>Score + resources per stage</t>
  </si>
  <si>
    <t>Treats AI readiness as one dimension of data maturity: the mirror image of the AI tools that treat data as one dimension. Neither side does both properly.</t>
  </si>
  <si>
    <t>https://data.org/</t>
  </si>
  <si>
    <t>What this means: the gap v3 fills</t>
  </si>
  <si>
    <t>#</t>
  </si>
  <si>
    <t>Pattern in market</t>
  </si>
  <si>
    <t/>
  </si>
  <si>
    <t>Evidence</t>
  </si>
  <si>
    <t>What v3 does instead</t>
  </si>
  <si>
    <t>1</t>
  </si>
  <si>
    <t>AI tools treat data as one pillar of five or six; data tools treat AI as one dimension of maturity. Almost nobody scores both properly.</t>
  </si>
  <si>
    <t>10Pearls, Microsoft, Cisco (AI side) · Digital Catapult, Atlan, data.org (data side)</t>
  </si>
  <si>
    <t>Two scores of equal size, Data Foundation and AI Delivery, each from 6 questions, shown as a 2×2</t>
  </si>
  <si>
    <t>2</t>
  </si>
  <si>
    <t>Security is a sub-bullet of governance, or absent from data tools entirely</t>
  </si>
  <si>
    <t>Microsoft (combined with governance), Augmentry (1 of 8), no data tool reviewed scores it</t>
  </si>
  <si>
    <t>Safe to Scale as its own score, which is where xLoop’s strongest proof sits (ISO 27001/42001 Lead Auditors, AI Security Assessment already built)</t>
  </si>
  <si>
    <t>3</t>
  </si>
  <si>
    <t>Questions ask for abstract self-ratings, so scores come out optimistic</t>
  </si>
  <si>
    <t>Most tools reviewed</t>
  </si>
  <si>
    <t>Concrete scenarios: "If two teams report the same number this month, do they match?" and "If an employee pasted a client contract into a free public chatbot tomorrow, what would happen?"</t>
  </si>
  <si>
    <t>4</t>
  </si>
  <si>
    <t>One averaged score hides the single thing that stops the project</t>
  </si>
  <si>
    <t>All tools reviewed</t>
  </si>
  <si>
    <t>One blocker question per domain, which can change the recommendation whatever the average says</t>
  </si>
  <si>
    <t>5</t>
  </si>
  <si>
    <t>Results route to "contact us", or to the vendor’s own product (training, a catalog)</t>
  </si>
  <si>
    <t>10Pearls, DataCamp, Atlan</t>
  </si>
  <si>
    <t>Each weak domain and each chosen initiative routes to a live xLoop page with a next step that exists today</t>
  </si>
  <si>
    <t>6</t>
  </si>
  <si>
    <t>Benchmarks and percentiles appear without a stated sample</t>
  </si>
  <si>
    <t>Augmentry, several roundups</t>
  </si>
  <si>
    <t>No benchmark at launch. Publish a real one once there are enough responses (prohibited_claims §3)</t>
  </si>
  <si>
    <t>7</t>
  </si>
  <si>
    <t>The closest competitors are either regional and data-only (HEMOdata, Eunoia) or global and AI-only</t>
  </si>
  <si>
    <t>Group 1 and 2 above</t>
  </si>
  <si>
    <t>Combined data, AI and security in one 6-minute diagnostic, with Pakistan and GCC regulation named: no tool reviewed does all three</t>
  </si>
  <si>
    <t>Changes from v2, and what stays fixed from the v1 review</t>
  </si>
  <si>
    <t>v2 was reviewed and sent for comment on 2026-09-16. This tab is the audit trail for anyone who has already read it, Farrukh included.</t>
  </si>
  <si>
    <t>Area</t>
  </si>
  <si>
    <t>What changed</t>
  </si>
  <si>
    <t>Why</t>
  </si>
  <si>
    <t>Impact</t>
  </si>
  <si>
    <t>Watch out for</t>
  </si>
  <si>
    <t>Scope</t>
  </si>
  <si>
    <t>A GenAI readiness tool becomes a Data &amp; AI readiness diagnostic.</t>
  </si>
  <si>
    <t>The homepage opens on data and AI, Section III is a Data &amp; AI diagnostic, and the tool is named the Data &amp; AI Readiness tool. The positioning moved; the tool had not.</t>
  </si>
  <si>
    <t>High</t>
  </si>
  <si>
    <t>Every reference to "GenAI readiness" in page copy, LinkedIn posts and the blog plan needs updating.</t>
  </si>
  <si>
    <t>Scores</t>
  </si>
  <si>
    <t>Two scores become three: Data Foundation, AI Delivery, Safe to Scale.</t>
  </si>
  <si>
    <t>Data cannot be diagnosed inside an "ability to build" score. ICP 2 buys the data fix on its own merits.</t>
  </si>
  <si>
    <t>Homepage Section III Version B copy says "two scores". Fix before launch.</t>
  </si>
  <si>
    <t>The 2×2</t>
  </si>
  <si>
    <t>Axes are now Data Foundation against AI Delivery. Safe to Scale sits beside the picture as its own score.</t>
  </si>
  <si>
    <t>The most common and most costly position in the market is strong AI ambition on a weak data base. The picture should show that in one glance.</t>
  </si>
  <si>
    <t>Accenture already uses a 2×2 in research, with different axes. Do not borrow its labels.</t>
  </si>
  <si>
    <t>Questions</t>
  </si>
  <si>
    <t>Data goes from 3 questions in one domain to 6 across two domains.</t>
  </si>
  <si>
    <t>Access, movement and integration are a different problem from trust, ownership and meaning. One score of three questions could not tell them apart.</t>
  </si>
  <si>
    <t>—</t>
  </si>
  <si>
    <t>New question</t>
  </si>
  <si>
    <t>"If two teams report the same number this month, do they match?"</t>
  </si>
  <si>
    <t>It is the Data Modernization Owner’s own sentence ("dashboards don’t match"), and it is concrete enough that nobody can answer it optimistically.</t>
  </si>
  <si>
    <t>Medium</t>
  </si>
  <si>
    <t>Expect low scores. That is the point; it opens the data conversation.</t>
  </si>
  <si>
    <t>"Could an assistant on your documents respect who is allowed to see what?"</t>
  </si>
  <si>
    <t>Permission-aware access is where data work and AI security meet, and it is already a planned LinkedIn topic.</t>
  </si>
  <si>
    <t>High "Not sure" rate likely. That is a finding, not noise.</t>
  </si>
  <si>
    <t>Output quality checks before release · drift and cost monitoring · AI-specific (red team) testing.</t>
  </si>
  <si>
    <t>To hold the tool at 18 questions while data doubles. All three stay in the report narrative and the paid review.</t>
  </si>
  <si>
    <t>Red teaming is xLoop’s strongest unpublished evidence. Keep it in the report and the security follow-up.</t>
  </si>
  <si>
    <t>Initiative question</t>
  </si>
  <si>
    <t>Now includes trusted reporting numbers, forecasting, and getting off legacy systems.</t>
  </si>
  <si>
    <t>A data buyer should never have to pick a GenAI answer that is not their problem.</t>
  </si>
  <si>
    <t>The legacy page is Release 2. Route legacy answers to Cloud &amp; Hyperscaling until it ships.</t>
  </si>
  <si>
    <t>Next steps</t>
  </si>
  <si>
    <t>Four proposed offers reduced to two that exist: the 30-minute Data &amp; AI Readiness Review and the AI Security Assessment.</t>
  </si>
  <si>
    <t>v2 needed four new offers defined before launch. That was a risk against an Oct 31 ship date.</t>
  </si>
  <si>
    <t>Scoped follow-ons (prioritization session, production readiness review) can be added later as named offers.</t>
  </si>
  <si>
    <t>Tie-break</t>
  </si>
  <si>
    <t>When two domains are equally weak, the data domain wins the recommendation.</t>
  </si>
  <si>
    <t>Matches the positioning, and the data fix usually has to happen first anyway.</t>
  </si>
  <si>
    <t>Low</t>
  </si>
  <si>
    <t>Implemented by the row order in Service Routing. Do not reorder those rows.</t>
  </si>
  <si>
    <t>Industries</t>
  </si>
  <si>
    <t>Mining added; Smart Cities, Telco/ICT and Education dropped.</t>
  </si>
  <si>
    <t>Follows the homepage decision to show only industries with delivered work.</t>
  </si>
  <si>
    <t>The Mining page is Release 2. Industry link stays off until then.</t>
  </si>
  <si>
    <t>Spelling</t>
  </si>
  <si>
    <t>US spelling throughout.</t>
  </si>
  <si>
    <t>Brand profile standard for anything public.</t>
  </si>
  <si>
    <t>Grep before delivery: modernis, programme, organis, licence, anonymis, behaviour, catalogue, prioritis.</t>
  </si>
  <si>
    <t>Kept from v2</t>
  </si>
  <si>
    <t>Blocker logic · "Not sure" on every question · results before any form · concrete anchored answers · 12-question short version · service-page starters.</t>
  </si>
  <si>
    <t>These were the parts that made v2 different from the market, and they still are.</t>
  </si>
  <si>
    <t>Ungated results are now normal (Microsoft, Cisco, Kudo, Eunoia). Keep it, but do not call it the differentiator.</t>
  </si>
  <si>
    <t>From the v1 review: problems that stay fixed</t>
  </si>
  <si>
    <t>Scoring floor</t>
  </si>
  <si>
    <t>v1 scored every answer 1–4, so the lowest possible total was 25% and the "Exploring 0–25%" tier was unreachable in practice.</t>
  </si>
  <si>
    <t>v3 keeps the 0–3 scale, so scores run a true 0–100 and early-stage companies see the right result.</t>
  </si>
  <si>
    <t>Generic framework</t>
  </si>
  <si>
    <t>v1’s 8 domains matched Augmentry’s 8 almost one-for-one, with a standard maturity ladder.</t>
  </si>
  <si>
    <t>v3 has 6 domains, three scores, a 2×2 and named blockers.</t>
  </si>
  <si>
    <t>No routing data</t>
  </si>
  <si>
    <t>v1 asked nothing about use case, role, industry or timeline.</t>
  </si>
  <si>
    <t>v3 asks 4 context questions that drive routing, report tailoring and lead scoring.</t>
  </si>
  <si>
    <t>Repeated answer ladders</t>
  </si>
  <si>
    <t>About 14 of v1’s 24 questions reused the same none/informal/documented/consistent options.</t>
  </si>
  <si>
    <t>Every v3 question has its own observable answers.</t>
  </si>
  <si>
    <t>Averages hiding risk</t>
  </si>
  <si>
    <t>v1 could return a reassuring score to a company with no control over data going into public AI tools.</t>
  </si>
  <si>
    <t>Blocker logic overrides the average.</t>
  </si>
  <si>
    <t>Scored questions v3: 18 questions, 6 domains, 3 scores</t>
  </si>
  <si>
    <t>Flow: 3 context questions → these 18 in order (Data, then AI, then Safe) → timeline question → instant results. Every question also offers "Not sure" (scores 0, counted as a visibility gap). Short version = the 12 with Core = Y.</t>
  </si>
  <si>
    <t>Q ID</t>
  </si>
  <si>
    <t>Score</t>
  </si>
  <si>
    <t>Domain</t>
  </si>
  <si>
    <t>Blocker?</t>
  </si>
  <si>
    <t>Core (short)?</t>
  </si>
  <si>
    <t>Question</t>
  </si>
  <si>
    <t>Helper text (shown under question)</t>
  </si>
  <si>
    <t>Answer scoring 0</t>
  </si>
  <si>
    <t>Answer scoring 1</t>
  </si>
  <si>
    <t>Answer scoring 2</t>
  </si>
  <si>
    <t>Answer scoring 3</t>
  </si>
  <si>
    <t>"Not sure"</t>
  </si>
  <si>
    <t>What the answer tells sales</t>
  </si>
  <si>
    <t>Came from</t>
  </si>
  <si>
    <t>D1.1</t>
  </si>
  <si>
    <t>Data</t>
  </si>
  <si>
    <t>Data Access &amp; Integration</t>
  </si>
  <si>
    <t>Y</t>
  </si>
  <si>
    <t>Where does the data your initiative needs live today?</t>
  </si>
  <si>
    <t>Mostly in people’s heads, email, spreadsheets or paper</t>
  </si>
  <si>
    <t>Spread across systems and shared drives, with no clear owner</t>
  </si>
  <si>
    <t>In known systems, but getting it out takes manual work</t>
  </si>
  <si>
    <t>In known systems we can reach through APIs, exports or a data platform</t>
  </si>
  <si>
    <t>Scores 0; counted as visibility gap</t>
  </si>
  <si>
    <t>0–1: the data foundation comes first. Route to the Data &amp; AI Readiness Review.</t>
  </si>
  <si>
    <t>v1 DR Q1 · v2 B2.1</t>
  </si>
  <si>
    <t>D1.2</t>
  </si>
  <si>
    <t>N</t>
  </si>
  <si>
    <t>How does data get from those systems to where it is actually used?</t>
  </si>
  <si>
    <t>It doesn’t; people pull it together by hand each time</t>
  </si>
  <si>
    <t>Manual exports and spreadsheets, repeated every cycle</t>
  </si>
  <si>
    <t>Some automated pipelines, the rest manual</t>
  </si>
  <si>
    <t>Automated pipelines into a central platform, with alerts when they fail</t>
  </si>
  <si>
    <t>0–1: data engineering scope. The strongest proof xLoop has (A9, A10).</t>
  </si>
  <si>
    <t>New in v3</t>
  </si>
  <si>
    <t>D1.3</t>
  </si>
  <si>
    <t>Can the systems where work happens (CRM, ERP, core banking, ticketing) exchange data with new tools?</t>
  </si>
  <si>
    <t>No; data moves by copy and paste</t>
  </si>
  <si>
    <t>Our core platforms are old and have no APIs</t>
  </si>
  <si>
    <t>Some have APIs, but every connection is a one-off project</t>
  </si>
  <si>
    <t>Core systems have APIs, and there is a standard way to connect something new</t>
  </si>
  <si>
    <t>1: legacy modernization signal (A14, COBOL-to-Java work).</t>
  </si>
  <si>
    <t>v1 T&amp;I Q2 · v2 B3.1</t>
  </si>
  <si>
    <t>D2.1</t>
  </si>
  <si>
    <t>Data Trust &amp; Meaning</t>
  </si>
  <si>
    <t>If two teams report the same number this month, do they match?</t>
  </si>
  <si>
    <t>Revenue, customer count, claims, units shipped: whichever matters most to you.</t>
  </si>
  <si>
    <t>No, and we have stopped expecting them to</t>
  </si>
  <si>
    <t>Often not, and reconciling them takes days</t>
  </si>
  <si>
    <t>Mostly, with known exceptions</t>
  </si>
  <si>
    <t>Yes; there is one agreed source for the numbers that matter</t>
  </si>
  <si>
    <t>0–1: single source of truth work. The clearest opener for the Head of Data.</t>
  </si>
  <si>
    <t>D2.2</t>
  </si>
  <si>
    <t>Who is responsible for that data being correct and current?</t>
  </si>
  <si>
    <t>No one</t>
  </si>
  <si>
    <t>IT keeps the systems running, but nobody owns whether the data is right</t>
  </si>
  <si>
    <t>Owners exist for major systems, informally</t>
  </si>
  <si>
    <t>Named owners, with quality standards that are actually checked</t>
  </si>
  <si>
    <t>Low: data governance scope, and a reason reports are not trusted.</t>
  </si>
  <si>
    <t>v1 DR Q2 · v2 B2.2</t>
  </si>
  <si>
    <t>D2.3</t>
  </si>
  <si>
    <t>What shape are the documents and records it relies on?</t>
  </si>
  <si>
    <t>Analytics and AI both work best on content they can search and read.</t>
  </si>
  <si>
    <t>Mostly scanned PDFs, images or paper</t>
  </si>
  <si>
    <t>A mix of formats, only some searchable</t>
  </si>
  <si>
    <t>Mostly digital and searchable, but inconsistently labeled</t>
  </si>
  <si>
    <t>Digital, searchable, and consistently labeled (dates, owners, document types)</t>
  </si>
  <si>
    <t>Low: document processing work before any knowledge assistant.</t>
  </si>
  <si>
    <t>v2 B2.3</t>
  </si>
  <si>
    <t>A1.1</t>
  </si>
  <si>
    <t>AI</t>
  </si>
  <si>
    <t>Use Case &amp; Value</t>
  </si>
  <si>
    <t>How clearly is your priority initiative defined?</t>
  </si>
  <si>
    <t>The one you picked at the start.</t>
  </si>
  <si>
    <t>We know we need to do something, but haven’t picked it</t>
  </si>
  <si>
    <t>We have a shortlist, with no single priority</t>
  </si>
  <si>
    <t>One priority is chosen, but its success measure isn’t agreed</t>
  </si>
  <si>
    <t>One priority is chosen, with an agreed success measure (hours saved, response time, cost per case)</t>
  </si>
  <si>
    <t>0–1: prioritization conversation, not a build.</t>
  </si>
  <si>
    <t>v1 S&amp;U Q1 · v2 B1.1</t>
  </si>
  <si>
    <t>A1.2</t>
  </si>
  <si>
    <t>If the pilot works, who pays for the rollout?</t>
  </si>
  <si>
    <t>No one has been asked yet</t>
  </si>
  <si>
    <t>It would need a new budget request, with no named owner</t>
  </si>
  <si>
    <t>A named executive owns it, but no budget is set aside</t>
  </si>
  <si>
    <t>A named executive owns it, and budget is set aside for rollout, not just the pilot</t>
  </si>
  <si>
    <t>3: a funded sponsor exists. 0–1: sales has to find the sponsor first.</t>
  </si>
  <si>
    <t>v1 L&amp;G Q1 · v2 B1.2</t>
  </si>
  <si>
    <t>A1.3</t>
  </si>
  <si>
    <t>What will you compare the result against to decide it worked?</t>
  </si>
  <si>
    <t>Nothing defined; we would judge it informally</t>
  </si>
  <si>
    <t>A rough sense of today’s performance, not written down</t>
  </si>
  <si>
    <t>Today’s baseline is measured for part of the process</t>
  </si>
  <si>
    <t>Today’s baseline is measured, and we know the number that would justify scaling</t>
  </si>
  <si>
    <t>Low: no business case yet. Offer to build one in discovery.</t>
  </si>
  <si>
    <t>v1 S&amp;U Q2+Q3 · v2 B1.3</t>
  </si>
  <si>
    <t>A2.1</t>
  </si>
  <si>
    <t>Delivery Capability</t>
  </si>
  <si>
    <t>Who would build and look after it?</t>
  </si>
  <si>
    <t>No one identified, in-house or through a partner</t>
  </si>
  <si>
    <t>A few enthusiasts, alongside their day jobs</t>
  </si>
  <si>
    <t>A dedicated team, but missing key skills (data engineering, LLM engineering)</t>
  </si>
  <si>
    <t>A dedicated team with the skills needed, in-house or through a partner</t>
  </si>
  <si>
    <t>1–2: specialist engineering capacity. Never say "staff augmentation".</t>
  </si>
  <si>
    <t>v1 P&amp;C Q1 · v2 B3.2</t>
  </si>
  <si>
    <t>A2.2</t>
  </si>
  <si>
    <t>What happened to your most recent data or AI project?</t>
  </si>
  <si>
    <t>We haven’t run one yet</t>
  </si>
  <si>
    <t>It stayed a demo, or a report nobody uses</t>
  </si>
  <si>
    <t>It went live for one team but hasn’t expanded</t>
  </si>
  <si>
    <t>It went live and has been expanded or repeated elsewhere</t>
  </si>
  <si>
    <t>1: stuck at pilot. The strongest sign a sponsor is frustrated.</t>
  </si>
  <si>
    <t>v1 O&amp;S Q1+Q3 · v2 B3.3</t>
  </si>
  <si>
    <t>A2.3</t>
  </si>
  <si>
    <t>How long does it take to get a new dashboard, model or feature to the people who need it?</t>
  </si>
  <si>
    <t>We can’t say; requests sit in a queue</t>
  </si>
  <si>
    <t>Months, with manual releases</t>
  </si>
  <si>
    <t>Weeks, with some automation</t>
  </si>
  <si>
    <t>Days to weeks, with automated testing and release</t>
  </si>
  <si>
    <t>Slow delivery with a funded sponsor: capacity and platform conversation (ICP 5).</t>
  </si>
  <si>
    <t>S1.1</t>
  </si>
  <si>
    <t>Safe</t>
  </si>
  <si>
    <t>Shadow AI &amp; Data Protection</t>
  </si>
  <si>
    <t>If an employee pasted a client contract into a free public AI chatbot tomorrow, what would happen?</t>
  </si>
  <si>
    <t>Nothing would stop it, and we wouldn’t know</t>
  </si>
  <si>
    <t>It’s against policy, but nothing technical stops it</t>
  </si>
  <si>
    <t>It’s blocked on company devices, but we can’t see what happens elsewhere</t>
  </si>
  <si>
    <t>It’s blocked or logged, and staff have an approved AI tool to use instead</t>
  </si>
  <si>
    <t>0–1: AI Security Assessment. The natural opener for the security buyer.</t>
  </si>
  <si>
    <t>v1 S&amp;P Q1 · v2 S1.1</t>
  </si>
  <si>
    <t>S1.2</t>
  </si>
  <si>
    <t>Do you know which AI tools your teams are using today?</t>
  </si>
  <si>
    <t>Include browser extensions and AI features inside tools you already pay for.</t>
  </si>
  <si>
    <t>No</t>
  </si>
  <si>
    <t>Only the ones IT has bought</t>
  </si>
  <si>
    <t>We have reviewed or surveyed usage at least once</t>
  </si>
  <si>
    <t>We track usage continuously and keep an approved-tools list</t>
  </si>
  <si>
    <t>"Not sure" here is the finding: no visibility.</t>
  </si>
  <si>
    <t>v2 S1.2</t>
  </si>
  <si>
    <t>S1.3</t>
  </si>
  <si>
    <t>If an assistant sat on top of your documents, could it respect who is allowed to see what?</t>
  </si>
  <si>
    <t>No; permissions aren’t consistent in the source systems</t>
  </si>
  <si>
    <t>Only if we copied documents into a separate, restricted store</t>
  </si>
  <si>
    <t>Permissions exist in the source systems, but we haven’t tested carrying them through</t>
  </si>
  <si>
    <t>Yes; access rights carry through, and we have tested it</t>
  </si>
  <si>
    <t>Where data work and AI security meet. Strong cross-sell signal.</t>
  </si>
  <si>
    <t>New in v3 (replaces v1 S&amp;P Q3)</t>
  </si>
  <si>
    <t>S2.1</t>
  </si>
  <si>
    <t>Governance &amp; Oversight</t>
  </si>
  <si>
    <t>Who can approve a new AI use case going live?</t>
  </si>
  <si>
    <t>Anyone who can buy or build it</t>
  </si>
  <si>
    <t>IT or security, informally, if they hear about it</t>
  </si>
  <si>
    <t>There is a defined approval step, but it isn’t always used</t>
  </si>
  <si>
    <t>A defined approval step with business, security and legal input, used every time</t>
  </si>
  <si>
    <t>0–1: governance scope, delivered inside the AI Security Assessment (M3 rule).</t>
  </si>
  <si>
    <t>v1 L&amp;G Q3 · v2 S2.1</t>
  </si>
  <si>
    <t>S2.2</t>
  </si>
  <si>
    <t>Which rules apply to how you use data and AI, and are they mapped?</t>
  </si>
  <si>
    <t>For example data protection law (UAE or Saudi PDPL, GDPR), your sector regulator, the EU AI Act, or ISO/IEC 42001.</t>
  </si>
  <si>
    <t>We haven’t looked into it</t>
  </si>
  <si>
    <t>We know data protection law applies, but haven’t mapped it to AI</t>
  </si>
  <si>
    <t>We have mapped the main obligations for our data and AI use</t>
  </si>
  <si>
    <t>Mapped, owned, and aligned to a recognized framework such as ISO/IEC 42001 or NIST AI RMF</t>
  </si>
  <si>
    <t>Regulated sectors at 0–1: ISO 42001 Lead Auditor conversation (claim A4).</t>
  </si>
  <si>
    <t>v1 R Q2 · v2 S2.2</t>
  </si>
  <si>
    <t>S2.3</t>
  </si>
  <si>
    <t>If a model or a report gave a wrong answer in production, what would happen next?</t>
  </si>
  <si>
    <t>We would find out when someone complained</t>
  </si>
  <si>
    <t>It would be fixed ad hoc, with no set owner</t>
  </si>
  <si>
    <t>There is an owner and an escalation path, but it has never been tested</t>
  </si>
  <si>
    <t>There is an owner, an escalation path, and a way to switch it off or roll back quickly</t>
  </si>
  <si>
    <t>0–1: monitoring and incident response scope.</t>
  </si>
  <si>
    <t>v1 R Q3 · v2 S3.2</t>
  </si>
  <si>
    <t>What each score and domain means (wording for the results page)</t>
  </si>
  <si>
    <t>The data exists somewhere you can reach, it moves without manual work, and your core systems can exchange it.</t>
  </si>
  <si>
    <t>People agree on what the numbers mean, someone owns whether they are right, and documents are in a usable shape.</t>
  </si>
  <si>
    <t>One initiative is chosen, someone will fund the rollout, and you can prove whether it worked.</t>
  </si>
  <si>
    <t>A team can build and maintain it, past projects reached production, and new work ships in a reasonable time.</t>
  </si>
  <si>
    <t>Sensitive data cannot leak through AI tools, you can see which tools are in use, and access rights hold up when AI sits on top.</t>
  </si>
  <si>
    <t>Someone decides what goes live, the rules that apply are mapped, and a wrong answer in production has an owner.</t>
  </si>
  <si>
    <t>Context questions: not scored, used for personalization, routing and qualification</t>
  </si>
  <si>
    <t>X1–X3 come before the scored questions ("so we can tailor your result"). T1 comes after S2.3, before results. Company size and country are asked on the unlock form.</t>
  </si>
  <si>
    <t>When asked</t>
  </si>
  <si>
    <t>Answer option</t>
  </si>
  <si>
    <t>Routes to</t>
  </si>
  <si>
    <t>Maps to ICP / buyer</t>
  </si>
  <si>
    <t>Effect on results and lead handling</t>
  </si>
  <si>
    <t>X1</t>
  </si>
  <si>
    <t>Start (Q1)</t>
  </si>
  <si>
    <t>What are you trying to get to first?</t>
  </si>
  <si>
    <t>One trusted set of numbers we can report on</t>
  </si>
  <si>
    <t>xloopdigital.com/services/data-analytics</t>
  </si>
  <si>
    <t>ICP 2 Data owner</t>
  </si>
  <si>
    <t>Report leads with Data Trust &amp; Meaning. Proof: A9 (single source of truth on a Snowflake medallion lakehouse, anonymized).</t>
  </si>
  <si>
    <t>Forecasting and decision support from our data</t>
  </si>
  <si>
    <t>xloopdigital.com/services/predictive-analytics · xloopdigital.com/services/data-analytics</t>
  </si>
  <si>
    <t>Report leads with Data Access &amp; Integration, then forecasting. Proof: A9.</t>
  </si>
  <si>
    <t>Getting off legacy systems that hold us back</t>
  </si>
  <si>
    <t>xloopdigital.com/services/cloud-and-hyperscaling (legacy page is Release 2)</t>
  </si>
  <si>
    <t>ICP 2 / ICP 5</t>
  </si>
  <si>
    <t>Report leads with D1.3. Proof: A14 (legacy RPG to private cloud, minimal disruption).</t>
  </si>
  <si>
    <t>Answers and summaries from our own documents</t>
  </si>
  <si>
    <t>xloopdigital.com/services/large-language-models · xloopdigital.com/xlab/chat-genie</t>
  </si>
  <si>
    <t>ICP 1 Sponsor / ICP 5</t>
  </si>
  <si>
    <t>Raises D2.3 and S1.3 in the report. Proof: A13 (RAG video transcription search), A12.</t>
  </si>
  <si>
    <t>An assistant that handles customer questions</t>
  </si>
  <si>
    <t>xloopdigital.com/services/generative-ai · xloopdigital.com/xlab/chat-genie</t>
  </si>
  <si>
    <t>LoB owner (CX)</t>
  </si>
  <si>
    <t>Raises S2.3 (what happens when it is wrong). Method-led; Chat Genie figures are blocked claims.</t>
  </si>
  <si>
    <t>Agents that complete multi-step work across systems</t>
  </si>
  <si>
    <t>xloopdigital.com/services/ai-agents-and-autonomous-systems</t>
  </si>
  <si>
    <t>ICP 1 / ICP 5</t>
  </si>
  <si>
    <t>Raises D1.3, S1.3 and S2.1. Proof: A18 (11-stage multi-agent architecture).</t>
  </si>
  <si>
    <t>Visual inspection or video analytics</t>
  </si>
  <si>
    <t>xloopdigital.com/services/computer-vision · xloopdigital.com/xlab/xVision</t>
  </si>
  <si>
    <t>LoB owner (plant / branch ops)</t>
  </si>
  <si>
    <t>Do not cite xVision statistics (claims C5/C6 blocked).</t>
  </si>
  <si>
    <t>Not decided yet</t>
  </si>
  <si>
    <t>xloopdigital.com/services/ai-consulting-and-development</t>
  </si>
  <si>
    <t>ICP 1 Sponsor</t>
  </si>
  <si>
    <t>Report leads with Use Case &amp; Value. Default next step: the 30-minute review.</t>
  </si>
  <si>
    <t>X2</t>
  </si>
  <si>
    <t>Start (Q2)</t>
  </si>
  <si>
    <t>Which best describes your role?</t>
  </si>
  <si>
    <t>CEO, MD or founder</t>
  </si>
  <si>
    <t>ICP 1 (ICP 4 if Energy &amp; utilities in Pakistan)</t>
  </si>
  <si>
    <t>Report leads with the business case and sponsorship.</t>
  </si>
  <si>
    <t>CIO, CTO, CDO or head of digital</t>
  </si>
  <si>
    <t>Report leads with the 2×2 and sequencing: data first or AI first.</t>
  </si>
  <si>
    <t>Head of data, analytics or BI</t>
  </si>
  <si>
    <t>Report leads with the Data Foundation score and both data domains.</t>
  </si>
  <si>
    <t>CISO, head of security, risk or compliance</t>
  </si>
  <si>
    <t>ICP 3 Security champion</t>
  </si>
  <si>
    <t>Report leads with Safe to Scale; S-domain blockers first.</t>
  </si>
  <si>
    <t>Business unit or operations leader</t>
  </si>
  <si>
    <t>LoB owner</t>
  </si>
  <si>
    <t>Report leads with the chosen initiative; product demo where X1 matches an xLab product.</t>
  </si>
  <si>
    <t>Engineering, product or platform lead</t>
  </si>
  <si>
    <t>ICP 5 Builder</t>
  </si>
  <si>
    <t>Report leads with Delivery Capability (A2.3 and A2.1).</t>
  </si>
  <si>
    <t>Individual learner, or exploring an AI career</t>
  </si>
  <si>
    <t>xloopdigital.com/xcelerate</t>
  </si>
  <si>
    <t>Not a buyer</t>
  </si>
  <si>
    <t>Results still shown. Excluded from pipeline; offered xCelerate so bootcamp interest never inflates lead counts.</t>
  </si>
  <si>
    <t>Other</t>
  </si>
  <si>
    <t>Unmapped</t>
  </si>
  <si>
    <t>Default report order.</t>
  </si>
  <si>
    <t>X3</t>
  </si>
  <si>
    <t>Start (Q3)</t>
  </si>
  <si>
    <t>Which industry are you in?</t>
  </si>
  <si>
    <t>Banking &amp; financial services</t>
  </si>
  <si>
    <t>xloopdigital.com/industries/banking-and-finance</t>
  </si>
  <si>
    <t>Priority industry</t>
  </si>
  <si>
    <t>Secondary link. Proof: A8 (mobile banking security, PCI-DSS and State Bank compliance), A12.</t>
  </si>
  <si>
    <t>Energy &amp; utilities</t>
  </si>
  <si>
    <t>xloopdigital.com/industries/energy-and-utilities</t>
  </si>
  <si>
    <t>If country = Pakistan, also show the NEPRA page, with phone and email only (locked decision).</t>
  </si>
  <si>
    <t>Retail &amp; eCommerce</t>
  </si>
  <si>
    <t>xloopdigital.com/industries/retail-and-eCommerce</t>
  </si>
  <si>
    <t>Secondary link. Proof: A9 (anonymized).</t>
  </si>
  <si>
    <t>Healthcare</t>
  </si>
  <si>
    <t>xloopdigital.com/industries/healthcare</t>
  </si>
  <si>
    <t>Secondary link. Proof: A7, A10, A13.</t>
  </si>
  <si>
    <t>Transport &amp; logistics</t>
  </si>
  <si>
    <t>xloopdigital.com/industries/transports-and-logistics</t>
  </si>
  <si>
    <t>Secondary link.</t>
  </si>
  <si>
    <t>Mining &amp; resources</t>
  </si>
  <si>
    <t>Industry page is Release 2 (Nov 30): no link yet</t>
  </si>
  <si>
    <t>New priority industry (homepage decision)</t>
  </si>
  <si>
    <t>No industry link until the page ships. Do not name a mining client; none is evidenced.</t>
  </si>
  <si>
    <t>Government &amp; public sector</t>
  </si>
  <si>
    <t>No link (Smart Cities page recommended for removal). Do not reference xCrowdIQ.</t>
  </si>
  <si>
    <t>No industry link.</t>
  </si>
  <si>
    <t>T1</t>
  </si>
  <si>
    <t>End (after S2.3)</t>
  </si>
  <si>
    <t>When would you like this working in production?</t>
  </si>
  <si>
    <t>Within 3 months</t>
  </si>
  <si>
    <t>Intent</t>
  </si>
  <si>
    <t>Counts as "named a timeframe" (+3 intent). Priority A if fit.</t>
  </si>
  <si>
    <t>In 3–6 months</t>
  </si>
  <si>
    <t>+3 intent. Priority A if fit.</t>
  </si>
  <si>
    <t>In 6–12 months</t>
  </si>
  <si>
    <t>No intent points. Priority B.</t>
  </si>
  <si>
    <t>No date yet</t>
  </si>
  <si>
    <t>No intent points. Nurture.</t>
  </si>
  <si>
    <t>Scoring model: working calculator</t>
  </si>
  <si>
    <t>Change blue cells only. The example respondent is the most common real case: a funded AI ambition sitting on a weak data foundation.</t>
  </si>
  <si>
    <t>Parameters</t>
  </si>
  <si>
    <t>Axis threshold (Data and AI)</t>
  </si>
  <si>
    <t>At or above this counts as ready on that axis</t>
  </si>
  <si>
    <t>Blocker threshold (answer score at or below)</t>
  </si>
  <si>
    <t>A blocker question at or below this is flagged</t>
  </si>
  <si>
    <t>Safe to Scale threshold</t>
  </si>
  <si>
    <t>Below this, the result reads "Guardrails behind"</t>
  </si>
  <si>
    <t>Overall weight: Data Foundation</t>
  </si>
  <si>
    <t>Raise this if data leads the positioning</t>
  </si>
  <si>
    <t>Overall weight: AI Delivery</t>
  </si>
  <si>
    <t>Overall weight: Safe to Scale</t>
  </si>
  <si>
    <t>Max points per question</t>
  </si>
  <si>
    <t>Fixed by design (0–3 scale)</t>
  </si>
  <si>
    <t>Version (Full or Short)</t>
  </si>
  <si>
    <t>Full</t>
  </si>
  <si>
    <t>Short = only the 12 Core questions count</t>
  </si>
  <si>
    <t>Blocker Q?</t>
  </si>
  <si>
    <t>Core Q?</t>
  </si>
  <si>
    <t>Example answer (0–3)</t>
  </si>
  <si>
    <t>Not sure? (Y/N)</t>
  </si>
  <si>
    <t>Included?</t>
  </si>
  <si>
    <t>Effective score</t>
  </si>
  <si>
    <t>Blocker hit</t>
  </si>
  <si>
    <t>Domain scores (row order sets the tie-break: data domains come first)</t>
  </si>
  <si>
    <t>Weight</t>
  </si>
  <si>
    <t>Points</t>
  </si>
  <si>
    <t>Max points</t>
  </si>
  <si>
    <t>Domain %</t>
  </si>
  <si>
    <t>Blocker hits</t>
  </si>
  <si>
    <t>Priority index</t>
  </si>
  <si>
    <t>Weighted %</t>
  </si>
  <si>
    <t>Priority index = Domain % minus blocker hits, so any domain with a blocker sorts ahead of every domain without one. The lowest index becomes the primary recommendation; equal values resolve to whichever domain appears first above, which is why the two data domains are listed first.</t>
  </si>
  <si>
    <t>Results (what the respondent sees)</t>
  </si>
  <si>
    <t>Data Foundation score</t>
  </si>
  <si>
    <t>AI Delivery score</t>
  </si>
  <si>
    <t>Safe to Scale score</t>
  </si>
  <si>
    <t>Overall readiness</t>
  </si>
  <si>
    <t>Profile (the 2×2 position)</t>
  </si>
  <si>
    <t>Guardrail state</t>
  </si>
  <si>
    <t>Blockers found</t>
  </si>
  <si>
    <t>"Not sure" answers (visibility gaps)</t>
  </si>
  <si>
    <t>Priority domain</t>
  </si>
  <si>
    <t>Primary page</t>
  </si>
  <si>
    <t>Primary CTA</t>
  </si>
  <si>
    <t>Results headline</t>
  </si>
  <si>
    <t>Blocker line</t>
  </si>
  <si>
    <t>Check (example): Data 33%, AI 72%, Safe 39% gives "AI Ahead of the Data" with guardrails behind and 4 blockers (Data Trust &amp; Meaning, Data Access &amp; Integration, Shadow AI &amp; Data Protection, Governance &amp; Oversight). The weakest domain is Data Trust &amp; Meaning, so the next step is "Book a 30-minute Data &amp; AI Readiness Review" and the page is the data analytics page, not a security page: exactly the routing the data-and-AI shift calls for. With no blockers, the CTA falls back to the profile default.</t>
  </si>
  <si>
    <t>Result profiles and results-page copy</t>
  </si>
  <si>
    <t>The profile comes from the two axis scores against Scoring Model!B4. Safe to Scale is shown alongside, not inside, the profile. Copy is plain, no fear-selling, no superlatives, no unsourced numbers.</t>
  </si>
  <si>
    <t>Profile</t>
  </si>
  <si>
    <t>Rule</t>
  </si>
  <si>
    <t>What it means</t>
  </si>
  <si>
    <t>First move (in the report)</t>
  </si>
  <si>
    <t>Default CTA (no blockers)</t>
  </si>
  <si>
    <t>Default page</t>
  </si>
  <si>
    <t>Starting Out</t>
  </si>
  <si>
    <t>Data &lt; threshold AND AI &lt; threshold</t>
  </si>
  <si>
    <t>Start with one question worth answering, and the data it needs.</t>
  </si>
  <si>
    <t>You are early on both sides. That is common, and it means the first choices (which initiative, which data, who owns it) decide how the rest goes.</t>
  </si>
  <si>
    <t>Pick one initiative with a named owner and a success measure, and scope only the data it actually needs.</t>
  </si>
  <si>
    <t>Book a 30-minute Data &amp; AI Readiness Review</t>
  </si>
  <si>
    <t>Data Ready, AI Not Started</t>
  </si>
  <si>
    <t>Data ≥ threshold AND AI &lt; threshold</t>
  </si>
  <si>
    <t>Your data is in better shape than your use of it.</t>
  </si>
  <si>
    <t>You have the foundation most companies are still building. What is missing is a chosen initiative with an owner and a measure.</t>
  </si>
  <si>
    <t>Pick the first use case your data can already support, and set the number that would justify scaling it.</t>
  </si>
  <si>
    <t>AI Ahead of the Data</t>
  </si>
  <si>
    <t>Data &lt; threshold AND AI ≥ threshold</t>
  </si>
  <si>
    <t>You are ready to build on data that is not ready yet.</t>
  </si>
  <si>
    <t>You have the intent, the sponsor and often the team. The gap is underneath: data that is hard to reach, or numbers people do not agree on. This is where AI projects quietly stall.</t>
  </si>
  <si>
    <t>Fix the specific data the initiative depends on, in parallel with a narrow pilot rather than after it.</t>
  </si>
  <si>
    <t>Ready to Scale</t>
  </si>
  <si>
    <t>Data ≥ threshold AND AI ≥ threshold</t>
  </si>
  <si>
    <t>The foundations are there. The question is what to scale first.</t>
  </si>
  <si>
    <t>You are ready on both sides. Anything flagged below is what could still slow the next rollout.</t>
  </si>
  <si>
    <t>Choose the next initiative to scale, and test it against your production controls before rollout.</t>
  </si>
  <si>
    <t>Initiative page from X1</t>
  </si>
  <si>
    <t>Overlays that apply to every profile</t>
  </si>
  <si>
    <t>Guardrails behind</t>
  </si>
  <si>
    <t>Safe to Scale &lt; threshold</t>
  </si>
  <si>
    <t>Added line: "Your guardrails are behind your plans."</t>
  </si>
  <si>
    <t>Security and approval have not kept pace with the data and AI work. Common, and cheaper to fix before anything reaches customers.</t>
  </si>
  <si>
    <t>The report puts the three Safe to Scale fixes before the rollout steps.</t>
  </si>
  <si>
    <t>Unchanged, unless a Safe blocker is the weakest domain</t>
  </si>
  <si>
    <t>xloopdigital.com/services/ai-security-service</t>
  </si>
  <si>
    <t>Blocker hits &gt; 0</t>
  </si>
  <si>
    <t>Added line: "[N] things are likely to stall this before it reaches production."</t>
  </si>
  <si>
    <t>Blocker names are shown on the results page; the fixes are in the report.</t>
  </si>
  <si>
    <t>First moves are ordered by priority index, so blockers come first.</t>
  </si>
  <si>
    <t>CTA switches to the priority domain’s CTA</t>
  </si>
  <si>
    <t>Priority domain’s page</t>
  </si>
  <si>
    <t>Low visibility</t>
  </si>
  <si>
    <t>"Not sure" count ≥ 3</t>
  </si>
  <si>
    <t>Added line: "You weren’t sure about [N] answers, which is worth knowing in itself."</t>
  </si>
  <si>
    <t>Where nobody can answer, the risk is usually real but unmeasured.</t>
  </si>
  <si>
    <t>The report suggests who inside the organization could answer each one.</t>
  </si>
  <si>
    <t>Unchanged</t>
  </si>
  <si>
    <t>Role-based order</t>
  </si>
  <si>
    <t>From X2</t>
  </si>
  <si>
    <t>Head of data sees the Data Foundation score first; CISO sees Safe to Scale first.</t>
  </si>
  <si>
    <t>Domain order in the report follows the role.</t>
  </si>
  <si>
    <t>What the results page shows before any form (stage 3)</t>
  </si>
  <si>
    <t>Profile name + headline</t>
  </si>
  <si>
    <t>The 2×2 with their position marked</t>
  </si>
  <si>
    <t>Data Foundation and AI Delivery scores</t>
  </si>
  <si>
    <t>Safe to Scale score + guardrail line</t>
  </si>
  <si>
    <t>Six domain bars</t>
  </si>
  <si>
    <t>Blocker names (not the fixes)</t>
  </si>
  <si>
    <t>Primary CTA + "Get the full report"</t>
  </si>
  <si>
    <t>Service routing: where each result sends people</t>
  </si>
  <si>
    <t>Rows 5–10 are read by the Scoring Model formulas, and their order sets the tie-break (data first). Do not insert or reorder rows there. Maturity is from offering_inventory.md; per the qualification framework, do not qualify a lead against anything below M3. Proof IDs are from approved_claims.md.</t>
  </si>
  <si>
    <t>Secondary page(s)</t>
  </si>
  <si>
    <t>Next step (CTA)</t>
  </si>
  <si>
    <t>Offering maturity</t>
  </si>
  <si>
    <t>Approved proof to show</t>
  </si>
  <si>
    <t>Report angle</t>
  </si>
  <si>
    <t>Status / to confirm</t>
  </si>
  <si>
    <t>xloopdigital.com/services/digital-engineering</t>
  </si>
  <si>
    <t>Data Analytics / Data Engineering: M4</t>
  </si>
  <si>
    <t>A9 (SAP to Snowflake medallion lakehouse on AWS, real-time Power BI), A10 (billion health records)</t>
  </si>
  <si>
    <t>Nobody trusts a report they cannot reconcile, and AI inherits the problem. The report names which sources the initiative depends on and what "one agreed number" would take.</t>
  </si>
  <si>
    <t>Keep A9 anonymized by default; naming Pick n Pay is Sana’s call</t>
  </si>
  <si>
    <t>xloopdigital.com/services/cloud-and-hyperscaling · Legacy System Modernization (HOLD: Release 2)</t>
  </si>
  <si>
    <t>Data Analytics: M4 · Cloud &amp; Hyperscaling: M4 · Legacy modernization: M3</t>
  </si>
  <si>
    <t>A9, A14 (legacy RPG to private cloud with minimal disruption), A10</t>
  </si>
  <si>
    <t>Manual pulls and systems that cannot talk are the cost nobody budgets for. The report shows the shortest path to the data the initiative needs.</t>
  </si>
  <si>
    <t>Legacy link stays off until that page is live</t>
  </si>
  <si>
    <t>AI Consulting &amp; Strategy: M4</t>
  </si>
  <si>
    <t>Method-led. Use A12 or A18 depending on the initiative.</t>
  </si>
  <si>
    <t>Pilots stall without a funded owner. The report includes how to write the one-page case for rollout.</t>
  </si>
  <si>
    <t>A scoped prioritization workshop could follow the review; not a named offer yet</t>
  </si>
  <si>
    <t>xloopdigital.com/services/cloud-and-hyperscaling</t>
  </si>
  <si>
    <t>xloopdigital.com/services/web-and-app-development · xTalent (specialist engineering capacity)</t>
  </si>
  <si>
    <t>Cloud &amp; Hyperscaling: M4 · Web &amp; App Development: M5 · Resource augmentation: M5</t>
  </si>
  <si>
    <t>A11 (10,000+ users at 99.9% uptime), A14</t>
  </si>
  <si>
    <t>If A2.1 is low, the gap is capacity; if A2.3 is low, it is the release path. The report separates the two.</t>
  </si>
  <si>
    <t>Say "specialist engineering capacity", never "staff augmentation". Confirm the xTalent URL</t>
  </si>
  <si>
    <t>Book an AI Security Assessment</t>
  </si>
  <si>
    <t>AI Security Audit: M3</t>
  </si>
  <si>
    <t>A4 (certified ISO 27001 and ISO 42001 Lead Auditors), A7 (200+ domain VAPT, 25% high-risk). Red-team findings (B1) need client permission.</t>
  </si>
  <si>
    <t>Staff are already using AI tools; the question is what data goes with them. The report lists the first three controls.</t>
  </si>
  <si>
    <t>The AI Security Assessment is built and ready to link</t>
  </si>
  <si>
    <t>AI Governance as a Service: M2, so route as an AI Security Audit (M3) with governance scope</t>
  </si>
  <si>
    <t>A4</t>
  </si>
  <si>
    <t>Governance speeds approvals up rather than slowing them down. The report gives a one-page go-live approval step.</t>
  </si>
  <si>
    <t>M3 rule: do not qualify a lead against the M2 governance offer. Confirm Lead Auditor availability for calls</t>
  </si>
  <si>
    <t>Service-page starters: how service pages capture relevant leads</t>
  </si>
  <si>
    <t>Page</t>
  </si>
  <si>
    <t>Starter headline</t>
  </si>
  <si>
    <t>Three questions, then continue to the full assessment</t>
  </si>
  <si>
    <t>Preset</t>
  </si>
  <si>
    <t>Why it works</t>
  </si>
  <si>
    <t>/services/data-analytics</t>
  </si>
  <si>
    <t>Is your data ready for AI? Three questions.</t>
  </si>
  <si>
    <t>D2.1, D1.1, D1.2</t>
  </si>
  <si>
    <t>X2 = Head of data</t>
  </si>
  <si>
    <t>Opens with the reconciliation question, which is the Head of Data’s own complaint, and gives a Data Foundation score in about 30 seconds.</t>
  </si>
  <si>
    <t>/services/cloud-and-hyperscaling</t>
  </si>
  <si>
    <t>Can your systems feed AI, or do people still copy and paste?</t>
  </si>
  <si>
    <t>D1.3, D1.2, A2.3</t>
  </si>
  <si>
    <t>Finds the integration and legacy leads that the Legacy System Modernization page will need when it ships.</t>
  </si>
  <si>
    <t>/services/ai-consulting-and-development</t>
  </si>
  <si>
    <t>Is your first initiative funded, or just agreed?</t>
  </si>
  <si>
    <t>A1.1, A1.2, A1.3</t>
  </si>
  <si>
    <t>X1 = Not decided yet</t>
  </si>
  <si>
    <t>The sponsor’s real fear is a pilot that goes nowhere; these three questions are about exactly that.</t>
  </si>
  <si>
    <t>/services/ai-security-service</t>
  </si>
  <si>
    <t>What would happen if someone pasted a client contract into a public chatbot tomorrow?</t>
  </si>
  <si>
    <t>S1.1, S1.2, S1.3</t>
  </si>
  <si>
    <t>X2 = CISO / security</t>
  </si>
  <si>
    <t>Uses the scenario security buyers already worry about, and the AI Security Assessment is ready to deliver.</t>
  </si>
  <si>
    <t>/services/generative-ai · /services/large-language-models</t>
  </si>
  <si>
    <t>Before you build: can your documents and permissions support it?</t>
  </si>
  <si>
    <t>D2.3, S1.3, D1.1</t>
  </si>
  <si>
    <t>X1 from the page</t>
  </si>
  <si>
    <t>Document shape and access rights are the two things that decide whether a knowledge assistant works.</t>
  </si>
  <si>
    <t>/services/ai-agents-and-autonomous-systems</t>
  </si>
  <si>
    <t>Are your systems and approvals ready for agents?</t>
  </si>
  <si>
    <t>D1.3, S2.1, S2.3</t>
  </si>
  <si>
    <t>X1 = Agents</t>
  </si>
  <si>
    <t>Agents need integration, an approval step and a way to switch them off. Leads with A18.</t>
  </si>
  <si>
    <t>/services/predictive-analytics</t>
  </si>
  <si>
    <t>Can your data support a forecast you would act on?</t>
  </si>
  <si>
    <t>D2.1, D2.2, D1.2</t>
  </si>
  <si>
    <t>X1 = Forecasting</t>
  </si>
  <si>
    <t>A forecast on unreconciled data is the fastest way to lose trust in a model.</t>
  </si>
  <si>
    <t>/industries/* pages</t>
  </si>
  <si>
    <t>How ready is [industry] for data and AI?</t>
  </si>
  <si>
    <t>D2.1, A1.2, S1.1</t>
  </si>
  <si>
    <t>X3 from the page</t>
  </si>
  <si>
    <t>One question per score, so the teaser still produces a meaningful three-part result.</t>
  </si>
  <si>
    <t>Mechanics: a starter passes its answers to the full assessment through a URL parameter (for example ?from=data-analytics), so the respondent carries on at question 4 instead of starting again. The entry page is written to the CRM, so each service page’s contribution to leads can be measured.</t>
  </si>
  <si>
    <t>Lead capture, CRM fields and lead priority</t>
  </si>
  <si>
    <t>Matches 03_icp/qualification_framework.md. Items marked Proposed need marketing and sales sign-off, and feed the week-1 lead tracker.</t>
  </si>
  <si>
    <t>A. Stages and what we ask for</t>
  </si>
  <si>
    <t>Stage</t>
  </si>
  <si>
    <t>What the respondent sees</t>
  </si>
  <si>
    <t>What we ask for</t>
  </si>
  <si>
    <t>0. Landing page</t>
  </si>
  <si>
    <t>"Is your data ready for AI?", the four profiles, and "about 6 minutes, results before any form"</t>
  </si>
  <si>
    <t>Nothing</t>
  </si>
  <si>
    <t>Low friction, and the same question the homepage asks, so the two read as one journey.</t>
  </si>
  <si>
    <t>1. Tailor (3 questions)</t>
  </si>
  <si>
    <t>X1 initiative, X2 role, X3 industry</t>
  </si>
  <si>
    <t>Nothing personal</t>
  </si>
  <si>
    <t>Drives routing and report order without a form.</t>
  </si>
  <si>
    <t>2. Assessment (18 + T1)</t>
  </si>
  <si>
    <t>Progress by section: Data, AI, Safe to Scale</t>
  </si>
  <si>
    <t>Sections tell the respondent what is being diagnosed, which is itself a positioning message.</t>
  </si>
  <si>
    <t>3. Instant results</t>
  </si>
  <si>
    <t>Profile, the 2×2, three scores, six domain bars, blocker names, primary CTA</t>
  </si>
  <si>
    <t>Real value first. They see what is flagged, not how to fix it.</t>
  </si>
  <si>
    <t>4. Unlock the full report</t>
  </si>
  <si>
    <t>PDF: each domain explained, the fix for every blocker, a 90-day first move for the chosen initiative, relevant proof</t>
  </si>
  <si>
    <t>First name · Work email · Company · Company size · Country (pre-filled) · Consent</t>
  </si>
  <si>
    <t>Five fields after value, against 10Pearls’ seven before starting. Size and country complete the fit checks.</t>
  </si>
  <si>
    <t>5. Walkthrough</t>
  </si>
  <si>
    <t>30-minute Data &amp; AI Readiness Review with an xLoop engineer</t>
  </si>
  <si>
    <t>Calendar booking (phone optional)</t>
  </si>
  <si>
    <t>Already the live homepage offer, so no new offer has to be defined for launch.</t>
  </si>
  <si>
    <t>Exception: NEPRA</t>
  </si>
  <si>
    <t>If X3 = Energy &amp; utilities and country = Pakistan</t>
  </si>
  <si>
    <t>Show the NEPRA page: phone +92 21 3586 9200 and xsecurity@xloopdigital.com</t>
  </si>
  <si>
    <t>Locked decision: NEPRA uses phone and email only, no form.</t>
  </si>
  <si>
    <t>B. Fields written to CRM</t>
  </si>
  <si>
    <t>Identity</t>
  </si>
  <si>
    <t>First name, work email, company, company size, country</t>
  </si>
  <si>
    <t>Context</t>
  </si>
  <si>
    <t>X1 initiative, X2 role, X3 industry, T1 timeline</t>
  </si>
  <si>
    <t>All 18 answers and "Not sure" flags · 6 domain % · Data Foundation, AI Delivery, Safe to Scale · overall · profile · guardrail state</t>
  </si>
  <si>
    <t>Signals</t>
  </si>
  <si>
    <t>Blocker count and domains · priority domain · "Not sure" count · version (Full/Short)</t>
  </si>
  <si>
    <t>Attribution</t>
  </si>
  <si>
    <t>Entry page (?from=), UTM values, starter used (Y/N), report unlocked (Y/N), review booked (Y/N)</t>
  </si>
  <si>
    <t>C. Intent points (Gate 3: 4 or more for MQL)</t>
  </si>
  <si>
    <t>Signal</t>
  </si>
  <si>
    <t>Status</t>
  </si>
  <si>
    <t>Note</t>
  </si>
  <si>
    <t>Completed the readiness assessment</t>
  </si>
  <si>
    <t>Existing</t>
  </si>
  <si>
    <t>Already in the framework, so completing it clears the intent bar on its own</t>
  </si>
  <si>
    <t>T1 = within 3 months, or 3–6 months</t>
  </si>
  <si>
    <t>Existing ("named a timeframe")</t>
  </si>
  <si>
    <t>Asked directly rather than waiting for it to come up</t>
  </si>
  <si>
    <t>Booked the 30-minute review</t>
  </si>
  <si>
    <t>Proposed (counts as "requested a scoping call")</t>
  </si>
  <si>
    <t>Confirm with sales</t>
  </si>
  <si>
    <t>Arrived through a service-page starter</t>
  </si>
  <si>
    <t>Proposed</t>
  </si>
  <si>
    <t>Equivalent to "3+ page views in one pillar": interest in a specific service</t>
  </si>
  <si>
    <t>Blocker in a domain routed to an M3+ offer</t>
  </si>
  <si>
    <t>0 (routing only)</t>
  </si>
  <si>
    <t>No intent points; it sets the CTA and the nurture track</t>
  </si>
  <si>
    <t>D. Lead priority (Proposed)</t>
  </si>
  <si>
    <t>Priority</t>
  </si>
  <si>
    <t>Action</t>
  </si>
  <si>
    <t>Fit reference</t>
  </si>
  <si>
    <t>A: sales within 1 business day</t>
  </si>
  <si>
    <t>Work email AND size meets the ICP floor for the X2 role AND (T1 ≤ 6 months OR review booked)</t>
  </si>
  <si>
    <t>Sales reads the result first; the discovery agenda is their blockers</t>
  </si>
  <si>
    <t>ICP floors: ICP1 1,000+ · ICP2 500+ · ICP3 500+ · ICP5 50–2,000 (icp_master.md)</t>
  </si>
  <si>
    <t>B: SDR review + domain nurture</t>
  </si>
  <si>
    <t>Work email AND (fit but T1 is 6–12 months or no date, OR below floor but T1 ≤ 6 months)</t>
  </si>
  <si>
    <t>Nurture track for the priority domain; SDR checks fit</t>
  </si>
  <si>
    <t>Size bands on the form: 1–49 · 50–499 · 500–999 · 1,000–4,999 · 5,000+</t>
  </si>
  <si>
    <t>C: automated nurture only</t>
  </si>
  <si>
    <t>Personal email domain, OR size 1–49, OR profile = Starting Out with no date</t>
  </si>
  <si>
    <t>Report plus monthly content</t>
  </si>
  <si>
    <t>Exclude from pipeline</t>
  </si>
  <si>
    <t>X2 = Individual learner, OR a competitor or vendor domain</t>
  </si>
  <si>
    <t>Offer xCelerate; never count in lead volume</t>
  </si>
  <si>
    <t>Keeps training interest out of lead numbers (offering_inventory.md §32)</t>
  </si>
  <si>
    <t>E. Nurture tracks, one per priority domain</t>
  </si>
  <si>
    <t>Report + what "one agreed number" actually takes</t>
  </si>
  <si>
    <t>Case: SAP and fragmented databases to a Snowflake medallion lakehouse (A9, anonymized)</t>
  </si>
  <si>
    <t>CTA: 30-minute Data &amp; AI Readiness Review</t>
  </si>
  <si>
    <t>Report + the shortest path to the data your initiative needs</t>
  </si>
  <si>
    <t>Case: legacy RPG applications to private cloud, minimal disruption (A14)</t>
  </si>
  <si>
    <t>Report + the one-page case for funding a rollout</t>
  </si>
  <si>
    <t>How to choose a first initiative: value, data, risk</t>
  </si>
  <si>
    <t>Report + capacity versus release path, and which you have</t>
  </si>
  <si>
    <t>Case: platform scaled past 10,000 users at 99.9% uptime (A11)</t>
  </si>
  <si>
    <t>Report + the first three controls to put in place</t>
  </si>
  <si>
    <t>What an AI security assessment covers, and what it does not</t>
  </si>
  <si>
    <t>CTA: AI Security Assessment</t>
  </si>
  <si>
    <t>Report + a one-page go-live approval step</t>
  </si>
  <si>
    <t>ISO/IEC 42001 in plain language</t>
  </si>
  <si>
    <t>Launch, traffic and measurement</t>
  </si>
  <si>
    <t>Release 1, with homepage v2, by Fri 31 Oct 2026. Nothing below cites a statistic; do not add any until it is sourced (prohibited_claims §3 and §7).</t>
  </si>
  <si>
    <t>Recommendation</t>
  </si>
  <si>
    <t>Detail / copy</t>
  </si>
  <si>
    <t>URL and title</t>
  </si>
  <si>
    <t>Keep both search phrases in the title</t>
  </si>
  <si>
    <t>URL: /data-ai-readiness-assessment · Title: "Data &amp; AI Readiness Assessment: Free, 6 Minutes | xLoop Digital". Fix the doubled brand suffix first.</t>
  </si>
  <si>
    <t>H1</t>
  </si>
  <si>
    <t>Use the homepage’s own question</t>
  </si>
  <si>
    <t>"Is your data ready for AI?" so Section III and the tool read as one journey. Sub: "18 questions. Three scores, and the specific things likely to stall you, before we ask for anything."</t>
  </si>
  <si>
    <t>Homepage Section III</t>
  </si>
  <si>
    <t>Update Version B copy</t>
  </si>
  <si>
    <t>It currently promises two scores. Change to the three scores and the 2×2, and point the primary button at the tool once live.</t>
  </si>
  <si>
    <t>Method section on the page</t>
  </si>
  <si>
    <t>Publish how the scoring works</t>
  </si>
  <si>
    <t>Six domains, the 0–3 scale, the blocker rule, the four profiles. No competitor reviewed publishes its method, and it gives answer engines something to cite.</t>
  </si>
  <si>
    <t>FAQ (server-rendered, FAQPage schema)</t>
  </si>
  <si>
    <t>Five questions</t>
  </si>
  <si>
    <t>How long does it take? · Do I have to give my email? · Why does a data assessment ask about AI security? · How is this different from a maturity score? · What happens to my answers?</t>
  </si>
  <si>
    <t>Service-page starters</t>
  </si>
  <si>
    <t>Add to 8 page types</t>
  </si>
  <si>
    <t>See Service Routing. Report starts and completions by entry page.</t>
  </si>
  <si>
    <t>Traffic reality</t>
  </si>
  <si>
    <t>Do not rely on organic at launch</t>
  </si>
  <si>
    <t>About 99% of current search traffic is brand, so first traffic comes from the homepage, LinkedIn, the blog cluster, sales outreach and email signatures. Treat organic as a Q3 outcome of the cluster pages.</t>
  </si>
  <si>
    <t>LinkedIn</t>
  </si>
  <si>
    <t>W2 (Mon 12 Oct) announcement, then the scenario</t>
  </si>
  <si>
    <t>Announcement says what the three scores check and how long it takes. Follow-up creative leads with S1.1 and D2.1, aimed at ICP 1, 2 and 3 titles.</t>
  </si>
  <si>
    <t>Blog</t>
  </si>
  <si>
    <t>Link from Track B</t>
  </si>
  <si>
    <t>B2 (data readiness) and B5 (what you get from the assessment). Each starter question becomes a section, and the pillar post links to the matching starter.</t>
  </si>
  <si>
    <t>Sales</t>
  </si>
  <si>
    <t>Short version before discovery calls</t>
  </si>
  <si>
    <t>SDRs send the 12-question version with a personal link, so the result is ready before the meeting.</t>
  </si>
  <si>
    <t>llms.txt</t>
  </si>
  <si>
    <t>Add the tool, remove retired services</t>
  </si>
  <si>
    <t>It still lists smart cities, manufacturing and education.</t>
  </si>
  <si>
    <t>GA4</t>
  </si>
  <si>
    <t>The assessment needs its own events</t>
  </si>
  <si>
    <t>Today every form is one `form_submission` key event, so the tool would be invisible. Add: assessment_start (with entry page) · section_complete ×3 · results_view · report_unlock · review_booked.</t>
  </si>
  <si>
    <t>Report after launch</t>
  </si>
  <si>
    <t>Publish a real aggregate once there is data</t>
  </si>
  <si>
    <t>Proposed trigger: 150+ completed responses. For example readiness across Pakistan and the GCC, using real response data only. Until then, no benchmarks or percentiles.</t>
  </si>
  <si>
    <t>Calibration</t>
  </si>
  <si>
    <t>Review after 50 completions</t>
  </si>
  <si>
    <t>Check the profile split (if more than 70% land in one, move the threshold), how often each blocker fires, "Not sure" rates per question (over 40% means rewrite it), and drop-off by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</si>
</sst>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4" x14ac:knownFonts="1">
    <font>
      <color theme="1"/>
      <family val="2"/>
      <scheme val="minor"/>
      <sz val="11"/>
      <name val="Calibri"/>
    </font>
    <font>
      <b/>
      <color rgb="FF1F2A44"/>
      <sz val="14"/>
      <name val="Arial"/>
    </font>
    <font>
      <i/>
      <color rgb="FF595959"/>
      <sz val="10"/>
      <name val="Arial"/>
    </font>
    <font>
      <b/>
      <color rgb="FF2E5AAC"/>
      <sz val="11"/>
      <name val="Arial"/>
    </font>
    <font>
      <sz val="10"/>
      <name val="Arial"/>
    </font>
    <font>
      <b/>
      <color rgb="FF0000FF"/>
      <sz val="10"/>
      <name val="Arial"/>
    </font>
    <font>
      <b/>
      <color rgb="FF008000"/>
      <sz val="10"/>
      <name val="Arial"/>
    </font>
    <font>
      <b/>
      <color rgb="FFFFFFFF"/>
      <sz val="10"/>
      <name val="Arial"/>
    </font>
    <font>
      <b/>
      <color rgb="FFC00000"/>
      <sz val="10"/>
      <name val="Arial"/>
    </font>
    <font>
      <b/>
      <sz val="10"/>
      <name val="Arial"/>
    </font>
    <font>
      <color rgb="FF0000FF"/>
      <sz val="10"/>
      <name val="Arial"/>
    </font>
    <font>
      <color rgb="FF000000"/>
      <sz val="10"/>
      <name val="Arial"/>
    </font>
    <font>
      <b/>
      <color rgb="FF000000"/>
      <sz val="10"/>
      <name val="Arial"/>
    </font>
    <font>
      <color rgb="FF008000"/>
      <sz val="10"/>
      <name val="Arial"/>
    </font>
  </fonts>
  <fills count="5">
    <fill>
      <patternFill patternType="none"/>
    </fill>
    <fill>
      <patternFill patternType="gray125"/>
    </fill>
    <fill>
      <patternFill patternType="solid">
        <fgColor rgb="FFEEF2F8"/>
      </patternFill>
    </fill>
    <fill>
      <patternFill patternType="solid">
        <fgColor rgb="FFFFF2CC"/>
      </patternFill>
    </fill>
    <fill>
      <patternFill patternType="solid">
        <fgColor rgb="FF1F2A44"/>
      </patternFill>
    </fill>
  </fills>
  <borders count="2">
    <border>
      <left/>
      <right/>
      <top/>
      <bottom/>
      <diagonal/>
    </border>
    <border>
      <left/>
      <right/>
      <top/>
      <bottom style="hair">
        <color rgb="FFD0D7E2"/>
      </bottom>
      <diagonal/>
    </border>
  </borders>
  <cellStyleXfs count="1">
    <xf numFmtId="0" fontId="0" fillId="0" borderId="0"/>
  </cellStyleXfs>
  <cellXfs count="33">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0" borderId="0" xfId="0" applyFont="1" applyAlignment="1">
      <alignment vertical="top" wrapText="1"/>
    </xf>
    <xf numFmtId="0" fontId="4" fillId="2" borderId="1" xfId="0" applyFont="1" applyFill="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5" fillId="2" borderId="1" xfId="0" applyFont="1" applyFill="1" applyBorder="1" applyAlignment="1">
      <alignment vertical="top" wrapText="1"/>
    </xf>
    <xf numFmtId="0" fontId="6" fillId="2" borderId="1" xfId="0" applyFont="1" applyFill="1" applyBorder="1" applyAlignment="1">
      <alignment vertical="top" wrapText="1"/>
    </xf>
    <xf numFmtId="0" fontId="7" fillId="4" borderId="0" xfId="0" applyFont="1" applyFill="1" applyAlignment="1">
      <alignment vertical="center" wrapText="1"/>
    </xf>
    <xf numFmtId="0" fontId="4" fillId="2" borderId="0" xfId="0" applyFont="1" applyFill="1" applyAlignment="1">
      <alignment vertical="top" wrapText="1"/>
    </xf>
    <xf numFmtId="0" fontId="8" fillId="2" borderId="1" xfId="0" applyFont="1" applyFill="1" applyBorder="1" applyAlignment="1">
      <alignment vertical="top" wrapText="1"/>
    </xf>
    <xf numFmtId="0" fontId="9" fillId="2" borderId="1" xfId="0" applyFont="1" applyFill="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4" fillId="0" borderId="0" xfId="0" applyFont="1"/>
    <xf numFmtId="9" fontId="10" fillId="0" borderId="0" xfId="0" applyNumberFormat="1" applyFont="1"/>
    <xf numFmtId="0" fontId="2" fillId="0" borderId="0" xfId="0" applyFont="1"/>
    <xf numFmtId="1" fontId="10" fillId="0" borderId="0" xfId="0" applyNumberFormat="1" applyFont="1"/>
    <xf numFmtId="164" fontId="10" fillId="0" borderId="0" xfId="0" applyNumberFormat="1" applyFont="1"/>
    <xf numFmtId="49" fontId="10" fillId="0" borderId="0" xfId="0" applyNumberFormat="1" applyFont="1"/>
    <xf numFmtId="0" fontId="4" fillId="2" borderId="0" xfId="0" applyFont="1" applyFill="1"/>
    <xf numFmtId="0" fontId="10" fillId="2" borderId="0" xfId="0" applyFont="1" applyFill="1"/>
    <xf numFmtId="0" fontId="10" fillId="0" borderId="0" xfId="0" applyFont="1"/>
    <xf numFmtId="9" fontId="4" fillId="0" borderId="0" xfId="0" applyNumberFormat="1" applyFont="1"/>
    <xf numFmtId="2" fontId="4" fillId="0" borderId="0" xfId="0" applyNumberFormat="1" applyFont="1"/>
    <xf numFmtId="0" fontId="9" fillId="0" borderId="0" xfId="0" applyFont="1"/>
    <xf numFmtId="9" fontId="11" fillId="2" borderId="0" xfId="0" applyNumberFormat="1" applyFont="1" applyFill="1" applyAlignment="1">
      <alignment horizontal="left" wrapText="1"/>
    </xf>
    <xf numFmtId="49" fontId="12" fillId="2" borderId="0" xfId="0" applyNumberFormat="1" applyFont="1" applyFill="1" applyAlignment="1">
      <alignment horizontal="left" wrapText="1"/>
    </xf>
    <xf numFmtId="49" fontId="11" fillId="2" borderId="0" xfId="0" applyNumberFormat="1" applyFont="1" applyFill="1" applyAlignment="1">
      <alignment horizontal="left" wrapText="1"/>
    </xf>
    <xf numFmtId="1" fontId="11" fillId="2" borderId="0" xfId="0" applyNumberFormat="1" applyFont="1" applyFill="1" applyAlignment="1">
      <alignment horizontal="left" wrapText="1"/>
    </xf>
    <xf numFmtId="49" fontId="13" fillId="2" borderId="0" xfId="0" applyNumberFormat="1"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
  <sheetViews>
    <sheetView workbookViewId="0" showGridLines="0"/>
  </sheetViews>
  <sheetFormatPr defaultRowHeight="15" outlineLevelRow="0" outlineLevelCol="0" x14ac:dyDescent="55"/>
  <cols>
    <col min="1" max="1" width="26" customWidth="1"/>
    <col min="2" max="2" width="110" customWidth="1"/>
  </cols>
  <sheetData>
    <row r="1" spans="1:2" x14ac:dyDescent="0.25">
      <c r="A1" s="1" t="s">
        <v>0</v>
      </c>
      <c r="B1" s="1"/>
    </row>
    <row r="2" ht="30" customHeight="1" spans="1:2" x14ac:dyDescent="0.25">
      <c r="A2" s="2" t="s">
        <v>1</v>
      </c>
      <c r="B2" s="2"/>
    </row>
    <row r="4" spans="1:2" x14ac:dyDescent="0.25">
      <c r="A4" s="3" t="s">
        <v>2</v>
      </c>
      <c r="B4" s="3"/>
    </row>
    <row r="5" ht="84" customHeight="1" spans="1:2" x14ac:dyDescent="0.25">
      <c r="A5" s="4" t="s">
        <v>3</v>
      </c>
      <c r="B5" s="4"/>
    </row>
    <row r="7" spans="1:2" x14ac:dyDescent="0.25">
      <c r="A7" s="3" t="s">
        <v>4</v>
      </c>
      <c r="B7" s="3"/>
    </row>
    <row r="8" ht="30" customHeight="1" spans="1:2" x14ac:dyDescent="0.25">
      <c r="A8" s="5" t="s">
        <v>5</v>
      </c>
      <c r="B8" s="5" t="s">
        <v>6</v>
      </c>
    </row>
    <row r="9" ht="30" customHeight="1" spans="1:2" x14ac:dyDescent="0.25">
      <c r="A9" s="6" t="s">
        <v>7</v>
      </c>
      <c r="B9" s="6" t="s">
        <v>8</v>
      </c>
    </row>
    <row r="10" ht="30" customHeight="1" spans="1:2" x14ac:dyDescent="0.25">
      <c r="A10" s="5" t="s">
        <v>9</v>
      </c>
      <c r="B10" s="5" t="s">
        <v>10</v>
      </c>
    </row>
    <row r="11" ht="30" customHeight="1" spans="1:2" x14ac:dyDescent="0.25">
      <c r="A11" s="6" t="s">
        <v>11</v>
      </c>
      <c r="B11" s="6" t="s">
        <v>12</v>
      </c>
    </row>
    <row r="12" ht="30" customHeight="1" spans="1:2" x14ac:dyDescent="0.25">
      <c r="A12" s="5" t="s">
        <v>13</v>
      </c>
      <c r="B12" s="5" t="s">
        <v>14</v>
      </c>
    </row>
    <row r="13" ht="30" customHeight="1" spans="1:2" x14ac:dyDescent="0.25">
      <c r="A13" s="6" t="s">
        <v>15</v>
      </c>
      <c r="B13" s="6" t="s">
        <v>16</v>
      </c>
    </row>
    <row r="14" ht="17" customHeight="1" spans="1:2" x14ac:dyDescent="0.25">
      <c r="A14" s="5" t="s">
        <v>17</v>
      </c>
      <c r="B14" s="5" t="s">
        <v>18</v>
      </c>
    </row>
    <row r="16" spans="1:2" x14ac:dyDescent="0.25">
      <c r="A16" s="3" t="s">
        <v>19</v>
      </c>
      <c r="B16" s="3"/>
    </row>
    <row r="17" ht="30" customHeight="1" spans="1:2" x14ac:dyDescent="0.25">
      <c r="A17" s="7" t="s">
        <v>20</v>
      </c>
      <c r="B17" s="5" t="s">
        <v>21</v>
      </c>
    </row>
    <row r="18" ht="30" customHeight="1" spans="1:2" x14ac:dyDescent="0.25">
      <c r="A18" s="7" t="s">
        <v>22</v>
      </c>
      <c r="B18" s="6" t="s">
        <v>23</v>
      </c>
    </row>
    <row r="19" ht="17" customHeight="1" spans="1:2" x14ac:dyDescent="0.25">
      <c r="A19" s="7" t="s">
        <v>24</v>
      </c>
      <c r="B19" s="5" t="s">
        <v>25</v>
      </c>
    </row>
    <row r="20" ht="30" customHeight="1" spans="1:2" x14ac:dyDescent="0.25">
      <c r="A20" s="7" t="s">
        <v>26</v>
      </c>
      <c r="B20" s="6" t="s">
        <v>27</v>
      </c>
    </row>
    <row r="22" spans="1:2" x14ac:dyDescent="0.25">
      <c r="A22" s="3" t="s">
        <v>28</v>
      </c>
      <c r="B22" s="3"/>
    </row>
    <row r="23" ht="30" customHeight="1" spans="1:2" x14ac:dyDescent="0.25">
      <c r="A23" s="5" t="s">
        <v>29</v>
      </c>
      <c r="B23" s="5" t="s">
        <v>30</v>
      </c>
    </row>
    <row r="24" ht="30" customHeight="1" spans="1:2" x14ac:dyDescent="0.25">
      <c r="A24" s="6" t="s">
        <v>31</v>
      </c>
      <c r="B24" s="6" t="s">
        <v>32</v>
      </c>
    </row>
    <row r="25" ht="30" customHeight="1" spans="1:2" x14ac:dyDescent="0.25">
      <c r="A25" s="5" t="s">
        <v>33</v>
      </c>
      <c r="B25" s="5" t="s">
        <v>34</v>
      </c>
    </row>
    <row r="26" ht="17" customHeight="1" spans="1:2" x14ac:dyDescent="0.25">
      <c r="A26" s="6" t="s">
        <v>35</v>
      </c>
      <c r="B26" s="6" t="s">
        <v>36</v>
      </c>
    </row>
    <row r="27" ht="30" customHeight="1" spans="1:2" x14ac:dyDescent="0.25">
      <c r="A27" s="5" t="s">
        <v>37</v>
      </c>
      <c r="B27" s="5" t="s">
        <v>38</v>
      </c>
    </row>
    <row r="28" ht="17" customHeight="1" spans="1:2" x14ac:dyDescent="0.25">
      <c r="A28" s="6" t="s">
        <v>39</v>
      </c>
      <c r="B28" s="6" t="s">
        <v>40</v>
      </c>
    </row>
    <row r="29" ht="30" customHeight="1" spans="1:2" x14ac:dyDescent="0.25">
      <c r="A29" s="5" t="s">
        <v>41</v>
      </c>
      <c r="B29" s="5" t="s">
        <v>42</v>
      </c>
    </row>
    <row r="30" ht="30" customHeight="1" spans="1:2" x14ac:dyDescent="0.25">
      <c r="A30" s="6" t="s">
        <v>43</v>
      </c>
      <c r="B30" s="6" t="s">
        <v>44</v>
      </c>
    </row>
    <row r="31" ht="30" customHeight="1" spans="1:2" x14ac:dyDescent="0.25">
      <c r="A31" s="5" t="s">
        <v>45</v>
      </c>
      <c r="B31" s="5" t="s">
        <v>46</v>
      </c>
    </row>
    <row r="33" spans="1:2" x14ac:dyDescent="0.25">
      <c r="A33" s="3" t="s">
        <v>47</v>
      </c>
      <c r="B33" s="3"/>
    </row>
    <row r="34" ht="17" customHeight="1" spans="1:2" x14ac:dyDescent="0.25">
      <c r="A34" s="8" t="s">
        <v>48</v>
      </c>
      <c r="B34" s="5" t="s">
        <v>49</v>
      </c>
    </row>
    <row r="35" ht="17" customHeight="1" spans="1:2" x14ac:dyDescent="0.25">
      <c r="A35" s="6" t="s">
        <v>50</v>
      </c>
      <c r="B35" s="6" t="s">
        <v>51</v>
      </c>
    </row>
    <row r="36" ht="17" customHeight="1" spans="1:2" x14ac:dyDescent="0.25">
      <c r="A36" s="9" t="s">
        <v>52</v>
      </c>
      <c r="B36" s="5" t="s">
        <v>53</v>
      </c>
    </row>
    <row r="37" ht="17" customHeight="1" spans="1:2" x14ac:dyDescent="0.25">
      <c r="A37" s="7" t="s">
        <v>54</v>
      </c>
      <c r="B37" s="6" t="s">
        <v>55</v>
      </c>
    </row>
    <row r="39" spans="1:2" x14ac:dyDescent="0.25">
      <c r="A39" s="3" t="s">
        <v>56</v>
      </c>
      <c r="B39" s="3"/>
    </row>
    <row r="40" ht="17" customHeight="1" spans="1:2" x14ac:dyDescent="0.25">
      <c r="A40" s="7" t="s">
        <v>57</v>
      </c>
      <c r="B40" s="5" t="s">
        <v>58</v>
      </c>
    </row>
    <row r="41" ht="30" customHeight="1" spans="1:2" x14ac:dyDescent="0.25">
      <c r="A41" s="7" t="s">
        <v>59</v>
      </c>
      <c r="B41" s="6" t="s">
        <v>60</v>
      </c>
    </row>
    <row r="42" ht="30" customHeight="1" spans="1:2" x14ac:dyDescent="0.25">
      <c r="A42" s="7" t="s">
        <v>61</v>
      </c>
      <c r="B42" s="5" t="s">
        <v>62</v>
      </c>
    </row>
    <row r="43" ht="30" customHeight="1" spans="1:2" x14ac:dyDescent="0.25">
      <c r="A43" s="7" t="s">
        <v>63</v>
      </c>
      <c r="B43" s="6" t="s">
        <v>64</v>
      </c>
    </row>
    <row r="44" ht="30" customHeight="1" spans="1:2" x14ac:dyDescent="0.25">
      <c r="A44" s="7" t="s">
        <v>65</v>
      </c>
      <c r="B44" s="5" t="s">
        <v>66</v>
      </c>
    </row>
    <row r="45" ht="30" customHeight="1" spans="1:2" x14ac:dyDescent="0.25">
      <c r="A45" s="7" t="s">
        <v>67</v>
      </c>
      <c r="B45" s="6" t="s">
        <v>68</v>
      </c>
    </row>
    <row r="46" ht="30" customHeight="1" spans="1:2" x14ac:dyDescent="0.25">
      <c r="A46" s="7" t="s">
        <v>69</v>
      </c>
      <c r="B46" s="5" t="s">
        <v>70</v>
      </c>
    </row>
    <row r="48" spans="1:2" x14ac:dyDescent="0.25">
      <c r="A48" s="3" t="s">
        <v>71</v>
      </c>
      <c r="B48" s="3"/>
    </row>
    <row r="49" ht="17" customHeight="1" spans="1:2" x14ac:dyDescent="0.25">
      <c r="A49" s="5" t="s">
        <v>72</v>
      </c>
      <c r="B49" s="5" t="s">
        <v>73</v>
      </c>
    </row>
    <row r="50" ht="30" customHeight="1" spans="1:2" x14ac:dyDescent="0.25">
      <c r="A50" s="6" t="s">
        <v>74</v>
      </c>
      <c r="B50" s="6" t="s">
        <v>75</v>
      </c>
    </row>
    <row r="51" ht="30" customHeight="1" spans="1:2" x14ac:dyDescent="0.25">
      <c r="A51" s="5" t="s">
        <v>76</v>
      </c>
      <c r="B51" s="5" t="s">
        <v>77</v>
      </c>
    </row>
    <row r="52" ht="17" customHeight="1" spans="1:2" x14ac:dyDescent="0.25">
      <c r="A52" s="6" t="s">
        <v>78</v>
      </c>
      <c r="B52" s="6" t="s">
        <v>79</v>
      </c>
    </row>
  </sheetData>
  <mergeCells count="10">
    <mergeCell ref="A1:B1"/>
    <mergeCell ref="A2:B2"/>
    <mergeCell ref="A4:B4"/>
    <mergeCell ref="A5:B5"/>
    <mergeCell ref="A7:B7"/>
    <mergeCell ref="A16:B16"/>
    <mergeCell ref="A22:B22"/>
    <mergeCell ref="A33:B33"/>
    <mergeCell ref="A39:B39"/>
    <mergeCell ref="A48:B4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showGridLines="0">
      <pane xSplit="1" ySplit="5" topLeftCell="B6" activePane="bottomRight" state="frozen"/>
      <selection pane="bottomRight"/>
    </sheetView>
  </sheetViews>
  <sheetFormatPr defaultRowHeight="15" outlineLevelRow="0" outlineLevelCol="0" x14ac:dyDescent="55"/>
  <cols>
    <col min="1" max="1" width="20" customWidth="1"/>
    <col min="2" max="2" width="18" customWidth="1"/>
    <col min="3" max="3" width="16" customWidth="1"/>
    <col min="4" max="4" width="14" customWidth="1"/>
    <col min="5" max="5" width="30" customWidth="1"/>
    <col min="6" max="6" width="20" customWidth="1"/>
    <col min="7" max="7" width="26" customWidth="1"/>
    <col min="8" max="8" width="34" customWidth="1"/>
    <col min="9" max="9" width="16" customWidth="1"/>
    <col min="10" max="10" width="42" customWidth="1"/>
  </cols>
  <sheetData>
    <row r="1" spans="1:10" x14ac:dyDescent="0.25">
      <c r="A1" s="1" t="s">
        <v>80</v>
      </c>
      <c r="B1" s="1"/>
      <c r="C1" s="1"/>
      <c r="D1" s="1"/>
      <c r="E1" s="1"/>
      <c r="F1" s="1"/>
      <c r="G1" s="1"/>
      <c r="H1" s="1"/>
      <c r="I1" s="1"/>
      <c r="J1" s="1"/>
    </row>
    <row r="2" ht="30" customHeight="1" spans="1:10" x14ac:dyDescent="0.25">
      <c r="A2" s="2" t="s">
        <v>81</v>
      </c>
      <c r="B2" s="2"/>
      <c r="C2" s="2"/>
      <c r="D2" s="2"/>
      <c r="E2" s="2"/>
      <c r="F2" s="2"/>
      <c r="G2" s="2"/>
      <c r="H2" s="2"/>
      <c r="I2" s="2"/>
      <c r="J2" s="2"/>
    </row>
    <row r="4" spans="1:10" x14ac:dyDescent="0.25">
      <c r="A4" s="3" t="s">
        <v>82</v>
      </c>
      <c r="B4" s="3"/>
      <c r="C4" s="3"/>
      <c r="D4" s="3"/>
      <c r="E4" s="3"/>
      <c r="F4" s="3"/>
      <c r="G4" s="3"/>
      <c r="H4" s="3"/>
      <c r="I4" s="3"/>
      <c r="J4" s="3"/>
    </row>
    <row r="5" ht="30" customHeight="1" spans="1:10" x14ac:dyDescent="0.25">
      <c r="A5" s="10" t="s">
        <v>83</v>
      </c>
      <c r="B5" s="10" t="s">
        <v>84</v>
      </c>
      <c r="C5" s="10" t="s">
        <v>85</v>
      </c>
      <c r="D5" s="10" t="s">
        <v>86</v>
      </c>
      <c r="E5" s="10" t="s">
        <v>87</v>
      </c>
      <c r="F5" s="10" t="s">
        <v>88</v>
      </c>
      <c r="G5" s="10" t="s">
        <v>89</v>
      </c>
      <c r="H5" s="10" t="s">
        <v>90</v>
      </c>
      <c r="I5" s="10" t="s">
        <v>91</v>
      </c>
      <c r="J5" s="10" t="s">
        <v>92</v>
      </c>
    </row>
    <row r="6" ht="56" customHeight="1" spans="1:10" x14ac:dyDescent="0.25">
      <c r="A6" s="5" t="s">
        <v>93</v>
      </c>
      <c r="B6" s="5" t="s">
        <v>94</v>
      </c>
      <c r="C6" s="5" t="s">
        <v>95</v>
      </c>
      <c r="D6" s="5" t="s">
        <v>96</v>
      </c>
      <c r="E6" s="5" t="s">
        <v>97</v>
      </c>
      <c r="F6" s="5" t="s">
        <v>98</v>
      </c>
      <c r="G6" s="5" t="s">
        <v>99</v>
      </c>
      <c r="H6" s="5" t="s">
        <v>100</v>
      </c>
      <c r="I6" s="5" t="s">
        <v>101</v>
      </c>
      <c r="J6" s="5" t="s">
        <v>102</v>
      </c>
    </row>
    <row r="7" ht="56" customHeight="1" spans="1:10" x14ac:dyDescent="0.25">
      <c r="A7" s="6" t="s">
        <v>103</v>
      </c>
      <c r="B7" s="6" t="s">
        <v>104</v>
      </c>
      <c r="C7" s="6" t="s">
        <v>105</v>
      </c>
      <c r="D7" s="6" t="s">
        <v>106</v>
      </c>
      <c r="E7" s="6" t="s">
        <v>107</v>
      </c>
      <c r="F7" s="6" t="s">
        <v>108</v>
      </c>
      <c r="G7" s="6" t="s">
        <v>109</v>
      </c>
      <c r="H7" s="6" t="s">
        <v>110</v>
      </c>
      <c r="I7" s="6" t="s">
        <v>101</v>
      </c>
      <c r="J7" s="6" t="s">
        <v>111</v>
      </c>
    </row>
    <row r="8" ht="43" customHeight="1" spans="1:10" x14ac:dyDescent="0.25">
      <c r="A8" s="5" t="s">
        <v>112</v>
      </c>
      <c r="B8" s="5" t="s">
        <v>104</v>
      </c>
      <c r="C8" s="5" t="s">
        <v>113</v>
      </c>
      <c r="D8" s="5" t="s">
        <v>114</v>
      </c>
      <c r="E8" s="5" t="s">
        <v>115</v>
      </c>
      <c r="F8" s="5" t="s">
        <v>108</v>
      </c>
      <c r="G8" s="5" t="s">
        <v>116</v>
      </c>
      <c r="H8" s="5" t="s">
        <v>117</v>
      </c>
      <c r="I8" s="5" t="s">
        <v>118</v>
      </c>
      <c r="J8" s="5" t="s">
        <v>119</v>
      </c>
    </row>
    <row r="9" ht="43" customHeight="1" spans="1:10" x14ac:dyDescent="0.25">
      <c r="A9" s="6" t="s">
        <v>120</v>
      </c>
      <c r="B9" s="6" t="s">
        <v>121</v>
      </c>
      <c r="C9" s="6" t="s">
        <v>122</v>
      </c>
      <c r="D9" s="6" t="s">
        <v>123</v>
      </c>
      <c r="E9" s="6" t="s">
        <v>124</v>
      </c>
      <c r="F9" s="6" t="s">
        <v>125</v>
      </c>
      <c r="G9" s="6" t="s">
        <v>126</v>
      </c>
      <c r="H9" s="6" t="s">
        <v>127</v>
      </c>
      <c r="I9" s="6" t="s">
        <v>101</v>
      </c>
      <c r="J9" s="6" t="s">
        <v>128</v>
      </c>
    </row>
    <row r="10" ht="30" customHeight="1" spans="1:10" x14ac:dyDescent="0.25">
      <c r="A10" s="5" t="s">
        <v>129</v>
      </c>
      <c r="B10" s="5" t="s">
        <v>130</v>
      </c>
      <c r="C10" s="5" t="s">
        <v>131</v>
      </c>
      <c r="D10" s="5" t="s">
        <v>132</v>
      </c>
      <c r="E10" s="5" t="s">
        <v>133</v>
      </c>
      <c r="F10" s="5" t="s">
        <v>108</v>
      </c>
      <c r="G10" s="5" t="s">
        <v>134</v>
      </c>
      <c r="H10" s="5" t="s">
        <v>135</v>
      </c>
      <c r="I10" s="5" t="s">
        <v>101</v>
      </c>
      <c r="J10" s="5" t="s">
        <v>136</v>
      </c>
    </row>
    <row r="11" ht="56" customHeight="1" spans="1:10" x14ac:dyDescent="0.25">
      <c r="A11" s="6" t="s">
        <v>137</v>
      </c>
      <c r="B11" s="6" t="s">
        <v>138</v>
      </c>
      <c r="C11" s="6" t="s">
        <v>139</v>
      </c>
      <c r="D11" s="6" t="s">
        <v>140</v>
      </c>
      <c r="E11" s="6" t="s">
        <v>141</v>
      </c>
      <c r="F11" s="6" t="s">
        <v>142</v>
      </c>
      <c r="G11" s="6" t="s">
        <v>143</v>
      </c>
      <c r="H11" s="6" t="s">
        <v>144</v>
      </c>
      <c r="I11" s="6" t="s">
        <v>145</v>
      </c>
      <c r="J11" s="6" t="s">
        <v>146</v>
      </c>
    </row>
    <row r="12" ht="43" customHeight="1" spans="1:10" x14ac:dyDescent="0.25">
      <c r="A12" s="5" t="s">
        <v>147</v>
      </c>
      <c r="B12" s="5" t="s">
        <v>148</v>
      </c>
      <c r="C12" s="5" t="s">
        <v>149</v>
      </c>
      <c r="D12" s="5" t="s">
        <v>150</v>
      </c>
      <c r="E12" s="5" t="s">
        <v>151</v>
      </c>
      <c r="F12" s="5" t="s">
        <v>152</v>
      </c>
      <c r="G12" s="5" t="s">
        <v>153</v>
      </c>
      <c r="H12" s="5" t="s">
        <v>154</v>
      </c>
      <c r="I12" s="5" t="s">
        <v>101</v>
      </c>
      <c r="J12" s="5" t="s">
        <v>155</v>
      </c>
    </row>
    <row r="13" ht="30" customHeight="1" spans="1:10" x14ac:dyDescent="0.25">
      <c r="A13" s="6" t="s">
        <v>156</v>
      </c>
      <c r="B13" s="6" t="s">
        <v>148</v>
      </c>
      <c r="C13" s="6" t="s">
        <v>157</v>
      </c>
      <c r="D13" s="6" t="s">
        <v>157</v>
      </c>
      <c r="E13" s="6" t="s">
        <v>158</v>
      </c>
      <c r="F13" s="6" t="s">
        <v>159</v>
      </c>
      <c r="G13" s="6" t="s">
        <v>160</v>
      </c>
      <c r="H13" s="6" t="s">
        <v>161</v>
      </c>
      <c r="I13" s="6" t="s">
        <v>118</v>
      </c>
      <c r="J13" s="6" t="s">
        <v>162</v>
      </c>
    </row>
    <row r="14" ht="43" customHeight="1" spans="1:10" x14ac:dyDescent="0.25">
      <c r="A14" s="5" t="s">
        <v>163</v>
      </c>
      <c r="B14" s="5" t="s">
        <v>164</v>
      </c>
      <c r="C14" s="5" t="s">
        <v>165</v>
      </c>
      <c r="D14" s="5" t="s">
        <v>166</v>
      </c>
      <c r="E14" s="5" t="s">
        <v>167</v>
      </c>
      <c r="F14" s="5" t="s">
        <v>166</v>
      </c>
      <c r="G14" s="5" t="s">
        <v>168</v>
      </c>
      <c r="H14" s="5" t="s">
        <v>169</v>
      </c>
      <c r="I14" s="5" t="s">
        <v>118</v>
      </c>
      <c r="J14" s="5" t="s">
        <v>170</v>
      </c>
    </row>
    <row r="16" spans="1:10" x14ac:dyDescent="0.25">
      <c r="A16" s="3" t="s">
        <v>171</v>
      </c>
      <c r="B16" s="3"/>
      <c r="C16" s="3"/>
      <c r="D16" s="3"/>
      <c r="E16" s="3"/>
      <c r="F16" s="3"/>
      <c r="G16" s="3"/>
      <c r="H16" s="3"/>
      <c r="I16" s="3"/>
      <c r="J16" s="3"/>
    </row>
    <row r="17" ht="30" customHeight="1" spans="1:10" x14ac:dyDescent="0.25">
      <c r="A17" s="10" t="s">
        <v>83</v>
      </c>
      <c r="B17" s="10" t="s">
        <v>84</v>
      </c>
      <c r="C17" s="10" t="s">
        <v>85</v>
      </c>
      <c r="D17" s="10" t="s">
        <v>86</v>
      </c>
      <c r="E17" s="10" t="s">
        <v>87</v>
      </c>
      <c r="F17" s="10" t="s">
        <v>88</v>
      </c>
      <c r="G17" s="10" t="s">
        <v>89</v>
      </c>
      <c r="H17" s="10" t="s">
        <v>90</v>
      </c>
      <c r="I17" s="10" t="s">
        <v>91</v>
      </c>
      <c r="J17" s="10" t="s">
        <v>92</v>
      </c>
    </row>
    <row r="18" ht="69" customHeight="1" spans="1:10" x14ac:dyDescent="0.25">
      <c r="A18" s="5" t="s">
        <v>172</v>
      </c>
      <c r="B18" s="5" t="s">
        <v>173</v>
      </c>
      <c r="C18" s="5" t="s">
        <v>174</v>
      </c>
      <c r="D18" s="5" t="s">
        <v>175</v>
      </c>
      <c r="E18" s="5" t="s">
        <v>176</v>
      </c>
      <c r="F18" s="5" t="s">
        <v>177</v>
      </c>
      <c r="G18" s="5" t="s">
        <v>178</v>
      </c>
      <c r="H18" s="5" t="s">
        <v>179</v>
      </c>
      <c r="I18" s="5" t="s">
        <v>101</v>
      </c>
      <c r="J18" s="5" t="s">
        <v>180</v>
      </c>
    </row>
    <row r="19" ht="69" customHeight="1" spans="1:10" x14ac:dyDescent="0.25">
      <c r="A19" s="6" t="s">
        <v>181</v>
      </c>
      <c r="B19" s="6" t="s">
        <v>182</v>
      </c>
      <c r="C19" s="6" t="s">
        <v>183</v>
      </c>
      <c r="D19" s="6" t="s">
        <v>184</v>
      </c>
      <c r="E19" s="6" t="s">
        <v>185</v>
      </c>
      <c r="F19" s="6" t="s">
        <v>108</v>
      </c>
      <c r="G19" s="6" t="s">
        <v>186</v>
      </c>
      <c r="H19" s="6" t="s">
        <v>187</v>
      </c>
      <c r="I19" s="6" t="s">
        <v>101</v>
      </c>
      <c r="J19" s="6" t="s">
        <v>188</v>
      </c>
    </row>
    <row r="20" ht="56" customHeight="1" spans="1:10" x14ac:dyDescent="0.25">
      <c r="A20" s="5" t="s">
        <v>189</v>
      </c>
      <c r="B20" s="5" t="s">
        <v>190</v>
      </c>
      <c r="C20" s="5" t="s">
        <v>191</v>
      </c>
      <c r="D20" s="5" t="s">
        <v>192</v>
      </c>
      <c r="E20" s="5" t="s">
        <v>193</v>
      </c>
      <c r="F20" s="5" t="s">
        <v>108</v>
      </c>
      <c r="G20" s="5" t="s">
        <v>194</v>
      </c>
      <c r="H20" s="5" t="s">
        <v>195</v>
      </c>
      <c r="I20" s="5" t="s">
        <v>118</v>
      </c>
      <c r="J20" s="5" t="s">
        <v>196</v>
      </c>
    </row>
    <row r="21" ht="43" customHeight="1" spans="1:10" x14ac:dyDescent="0.25">
      <c r="A21" s="6" t="s">
        <v>197</v>
      </c>
      <c r="B21" s="6" t="s">
        <v>198</v>
      </c>
      <c r="C21" s="6" t="s">
        <v>199</v>
      </c>
      <c r="D21" s="6" t="s">
        <v>200</v>
      </c>
      <c r="E21" s="6" t="s">
        <v>201</v>
      </c>
      <c r="F21" s="6" t="s">
        <v>202</v>
      </c>
      <c r="G21" s="6" t="s">
        <v>203</v>
      </c>
      <c r="H21" s="6" t="s">
        <v>204</v>
      </c>
      <c r="I21" s="6" t="s">
        <v>118</v>
      </c>
      <c r="J21" s="6" t="s">
        <v>205</v>
      </c>
    </row>
    <row r="22" ht="56" customHeight="1" spans="1:10" x14ac:dyDescent="0.25">
      <c r="A22" s="5" t="s">
        <v>206</v>
      </c>
      <c r="B22" s="5" t="s">
        <v>207</v>
      </c>
      <c r="C22" s="5" t="s">
        <v>208</v>
      </c>
      <c r="D22" s="5" t="s">
        <v>209</v>
      </c>
      <c r="E22" s="5" t="s">
        <v>210</v>
      </c>
      <c r="F22" s="5" t="s">
        <v>211</v>
      </c>
      <c r="G22" s="5" t="s">
        <v>212</v>
      </c>
      <c r="H22" s="5" t="s">
        <v>213</v>
      </c>
      <c r="I22" s="5" t="s">
        <v>118</v>
      </c>
      <c r="J22" s="5" t="s">
        <v>214</v>
      </c>
    </row>
    <row r="23" ht="43" customHeight="1" spans="1:10" x14ac:dyDescent="0.25">
      <c r="A23" s="6" t="s">
        <v>215</v>
      </c>
      <c r="B23" s="6" t="s">
        <v>207</v>
      </c>
      <c r="C23" s="6" t="s">
        <v>216</v>
      </c>
      <c r="D23" s="6" t="s">
        <v>192</v>
      </c>
      <c r="E23" s="6" t="s">
        <v>217</v>
      </c>
      <c r="F23" s="6" t="s">
        <v>192</v>
      </c>
      <c r="G23" s="6" t="s">
        <v>218</v>
      </c>
      <c r="H23" s="6" t="s">
        <v>219</v>
      </c>
      <c r="I23" s="6" t="s">
        <v>118</v>
      </c>
      <c r="J23" s="6" t="s">
        <v>220</v>
      </c>
    </row>
    <row r="24" ht="69" customHeight="1" spans="1:10" x14ac:dyDescent="0.25">
      <c r="A24" s="5" t="s">
        <v>221</v>
      </c>
      <c r="B24" s="5" t="s">
        <v>222</v>
      </c>
      <c r="C24" s="5" t="s">
        <v>191</v>
      </c>
      <c r="D24" s="5" t="s">
        <v>209</v>
      </c>
      <c r="E24" s="5" t="s">
        <v>223</v>
      </c>
      <c r="F24" s="5" t="s">
        <v>108</v>
      </c>
      <c r="G24" s="5" t="s">
        <v>224</v>
      </c>
      <c r="H24" s="5" t="s">
        <v>225</v>
      </c>
      <c r="I24" s="5" t="s">
        <v>118</v>
      </c>
      <c r="J24" s="5" t="s">
        <v>226</v>
      </c>
    </row>
    <row r="26" spans="1:10" x14ac:dyDescent="0.25">
      <c r="A26" s="3" t="s">
        <v>227</v>
      </c>
      <c r="B26" s="3"/>
      <c r="C26" s="3"/>
      <c r="D26" s="3"/>
      <c r="E26" s="3"/>
      <c r="F26" s="3"/>
      <c r="G26" s="3"/>
      <c r="H26" s="3"/>
      <c r="I26" s="3"/>
      <c r="J26" s="3"/>
    </row>
    <row r="27" ht="30" customHeight="1" spans="1:10" x14ac:dyDescent="0.25">
      <c r="A27" s="10" t="s">
        <v>228</v>
      </c>
      <c r="B27" s="10" t="s">
        <v>229</v>
      </c>
      <c r="C27" s="10" t="s">
        <v>230</v>
      </c>
      <c r="D27" s="10" t="s">
        <v>230</v>
      </c>
      <c r="E27" s="10" t="s">
        <v>231</v>
      </c>
      <c r="F27" s="10" t="s">
        <v>230</v>
      </c>
      <c r="G27" s="10" t="s">
        <v>230</v>
      </c>
      <c r="H27" s="10" t="s">
        <v>232</v>
      </c>
      <c r="I27" s="10" t="s">
        <v>230</v>
      </c>
      <c r="J27" s="10" t="s">
        <v>230</v>
      </c>
    </row>
    <row r="28" ht="48" customHeight="1" spans="1:10" x14ac:dyDescent="0.25">
      <c r="A28" s="11" t="s">
        <v>233</v>
      </c>
      <c r="B28" s="11" t="s">
        <v>234</v>
      </c>
      <c r="C28" s="11"/>
      <c r="D28" s="11"/>
      <c r="E28" s="11" t="s">
        <v>235</v>
      </c>
      <c r="F28" s="11"/>
      <c r="G28" s="11"/>
      <c r="H28" s="11" t="s">
        <v>236</v>
      </c>
      <c r="I28" s="11"/>
      <c r="J28" s="11"/>
    </row>
    <row r="29" ht="48" customHeight="1" spans="1:10" x14ac:dyDescent="0.25">
      <c r="A29" s="4" t="s">
        <v>237</v>
      </c>
      <c r="B29" s="4" t="s">
        <v>238</v>
      </c>
      <c r="C29" s="4"/>
      <c r="D29" s="4"/>
      <c r="E29" s="4" t="s">
        <v>239</v>
      </c>
      <c r="F29" s="4"/>
      <c r="G29" s="4"/>
      <c r="H29" s="4" t="s">
        <v>240</v>
      </c>
      <c r="I29" s="4"/>
      <c r="J29" s="4"/>
    </row>
    <row r="30" ht="48" customHeight="1" spans="1:10" x14ac:dyDescent="0.25">
      <c r="A30" s="11" t="s">
        <v>241</v>
      </c>
      <c r="B30" s="11" t="s">
        <v>242</v>
      </c>
      <c r="C30" s="11"/>
      <c r="D30" s="11"/>
      <c r="E30" s="11" t="s">
        <v>243</v>
      </c>
      <c r="F30" s="11"/>
      <c r="G30" s="11"/>
      <c r="H30" s="11" t="s">
        <v>244</v>
      </c>
      <c r="I30" s="11"/>
      <c r="J30" s="11"/>
    </row>
    <row r="31" ht="48" customHeight="1" spans="1:10" x14ac:dyDescent="0.25">
      <c r="A31" s="4" t="s">
        <v>245</v>
      </c>
      <c r="B31" s="4" t="s">
        <v>246</v>
      </c>
      <c r="C31" s="4"/>
      <c r="D31" s="4"/>
      <c r="E31" s="4" t="s">
        <v>247</v>
      </c>
      <c r="F31" s="4"/>
      <c r="G31" s="4"/>
      <c r="H31" s="4" t="s">
        <v>248</v>
      </c>
      <c r="I31" s="4"/>
      <c r="J31" s="4"/>
    </row>
    <row r="32" ht="48" customHeight="1" spans="1:10" x14ac:dyDescent="0.25">
      <c r="A32" s="11" t="s">
        <v>249</v>
      </c>
      <c r="B32" s="11" t="s">
        <v>250</v>
      </c>
      <c r="C32" s="11"/>
      <c r="D32" s="11"/>
      <c r="E32" s="11" t="s">
        <v>251</v>
      </c>
      <c r="F32" s="11"/>
      <c r="G32" s="11"/>
      <c r="H32" s="11" t="s">
        <v>252</v>
      </c>
      <c r="I32" s="11"/>
      <c r="J32" s="11"/>
    </row>
    <row r="33" ht="48" customHeight="1" spans="1:10" x14ac:dyDescent="0.25">
      <c r="A33" s="4" t="s">
        <v>253</v>
      </c>
      <c r="B33" s="4" t="s">
        <v>254</v>
      </c>
      <c r="C33" s="4"/>
      <c r="D33" s="4"/>
      <c r="E33" s="4" t="s">
        <v>255</v>
      </c>
      <c r="F33" s="4"/>
      <c r="G33" s="4"/>
      <c r="H33" s="4" t="s">
        <v>256</v>
      </c>
      <c r="I33" s="4"/>
      <c r="J33" s="4"/>
    </row>
    <row r="34" ht="48" customHeight="1" spans="1:10" x14ac:dyDescent="0.25">
      <c r="A34" s="11" t="s">
        <v>257</v>
      </c>
      <c r="B34" s="11" t="s">
        <v>258</v>
      </c>
      <c r="C34" s="11"/>
      <c r="D34" s="11"/>
      <c r="E34" s="11" t="s">
        <v>259</v>
      </c>
      <c r="F34" s="11"/>
      <c r="G34" s="11"/>
      <c r="H34" s="11" t="s">
        <v>260</v>
      </c>
      <c r="I34" s="11"/>
      <c r="J34" s="11"/>
    </row>
  </sheetData>
  <mergeCells count="26">
    <mergeCell ref="A1:J1"/>
    <mergeCell ref="A2:J2"/>
    <mergeCell ref="A4:J4"/>
    <mergeCell ref="A16:J16"/>
    <mergeCell ref="A26:J26"/>
    <mergeCell ref="B28:D28"/>
    <mergeCell ref="E28:G28"/>
    <mergeCell ref="H28:J28"/>
    <mergeCell ref="B29:D29"/>
    <mergeCell ref="E29:G29"/>
    <mergeCell ref="H29:J29"/>
    <mergeCell ref="B30:D30"/>
    <mergeCell ref="E30:G30"/>
    <mergeCell ref="H30:J30"/>
    <mergeCell ref="B31:D31"/>
    <mergeCell ref="E31:G31"/>
    <mergeCell ref="H31:J31"/>
    <mergeCell ref="B32:D32"/>
    <mergeCell ref="E32:G32"/>
    <mergeCell ref="H32:J32"/>
    <mergeCell ref="B33:D33"/>
    <mergeCell ref="E33:G33"/>
    <mergeCell ref="H33:J33"/>
    <mergeCell ref="B34:D34"/>
    <mergeCell ref="E34:G34"/>
    <mergeCell ref="H34:J34"/>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workbookViewId="0" showGridLines="0">
      <pane ySplit="4" topLeftCell="A5" activePane="bottomLeft" state="frozen"/>
      <selection pane="bottomLeft"/>
    </sheetView>
  </sheetViews>
  <sheetFormatPr defaultRowHeight="15" outlineLevelRow="0" outlineLevelCol="0" x14ac:dyDescent="55"/>
  <cols>
    <col min="1" max="1" width="5" customWidth="1"/>
    <col min="2" max="2" width="24" customWidth="1"/>
    <col min="3" max="3" width="52" customWidth="1"/>
    <col min="4" max="4" width="48" customWidth="1"/>
    <col min="5" max="5" width="10" customWidth="1"/>
    <col min="6" max="6" width="40" customWidth="1"/>
  </cols>
  <sheetData>
    <row r="1" spans="1:6" x14ac:dyDescent="0.25">
      <c r="A1" s="1" t="s">
        <v>261</v>
      </c>
      <c r="B1" s="1"/>
      <c r="C1" s="1"/>
      <c r="D1" s="1"/>
      <c r="E1" s="1"/>
      <c r="F1" s="1"/>
    </row>
    <row r="2" ht="30" customHeight="1" spans="1:6" x14ac:dyDescent="0.25">
      <c r="A2" s="2" t="s">
        <v>262</v>
      </c>
      <c r="B2" s="2"/>
      <c r="C2" s="2"/>
      <c r="D2" s="2"/>
      <c r="E2" s="2"/>
      <c r="F2" s="2"/>
    </row>
    <row r="4" ht="30" customHeight="1" spans="1:6" x14ac:dyDescent="0.25">
      <c r="A4" s="10" t="s">
        <v>228</v>
      </c>
      <c r="B4" s="10" t="s">
        <v>263</v>
      </c>
      <c r="C4" s="10" t="s">
        <v>264</v>
      </c>
      <c r="D4" s="10" t="s">
        <v>265</v>
      </c>
      <c r="E4" s="10" t="s">
        <v>266</v>
      </c>
      <c r="F4" s="10" t="s">
        <v>267</v>
      </c>
    </row>
    <row r="5" ht="56" customHeight="1" spans="1:6" x14ac:dyDescent="0.25">
      <c r="A5" s="5">
        <v>1</v>
      </c>
      <c r="B5" s="5" t="s">
        <v>268</v>
      </c>
      <c r="C5" s="5" t="s">
        <v>269</v>
      </c>
      <c r="D5" s="5" t="s">
        <v>270</v>
      </c>
      <c r="E5" s="5" t="s">
        <v>271</v>
      </c>
      <c r="F5" s="5" t="s">
        <v>272</v>
      </c>
    </row>
    <row r="6" ht="43" customHeight="1" spans="1:6" x14ac:dyDescent="0.25">
      <c r="A6" s="6">
        <v>2</v>
      </c>
      <c r="B6" s="6" t="s">
        <v>273</v>
      </c>
      <c r="C6" s="6" t="s">
        <v>274</v>
      </c>
      <c r="D6" s="6" t="s">
        <v>275</v>
      </c>
      <c r="E6" s="6" t="s">
        <v>271</v>
      </c>
      <c r="F6" s="6" t="s">
        <v>276</v>
      </c>
    </row>
    <row r="7" ht="43" customHeight="1" spans="1:6" x14ac:dyDescent="0.25">
      <c r="A7" s="5">
        <v>3</v>
      </c>
      <c r="B7" s="5" t="s">
        <v>277</v>
      </c>
      <c r="C7" s="5" t="s">
        <v>278</v>
      </c>
      <c r="D7" s="5" t="s">
        <v>279</v>
      </c>
      <c r="E7" s="5" t="s">
        <v>271</v>
      </c>
      <c r="F7" s="5" t="s">
        <v>280</v>
      </c>
    </row>
    <row r="8" ht="43" customHeight="1" spans="1:6" x14ac:dyDescent="0.25">
      <c r="A8" s="6">
        <v>4</v>
      </c>
      <c r="B8" s="6" t="s">
        <v>281</v>
      </c>
      <c r="C8" s="6" t="s">
        <v>282</v>
      </c>
      <c r="D8" s="6" t="s">
        <v>283</v>
      </c>
      <c r="E8" s="6" t="s">
        <v>271</v>
      </c>
      <c r="F8" s="6" t="s">
        <v>284</v>
      </c>
    </row>
    <row r="9" ht="43" customHeight="1" spans="1:6" x14ac:dyDescent="0.25">
      <c r="A9" s="5">
        <v>5</v>
      </c>
      <c r="B9" s="5" t="s">
        <v>285</v>
      </c>
      <c r="C9" s="5" t="s">
        <v>286</v>
      </c>
      <c r="D9" s="5" t="s">
        <v>287</v>
      </c>
      <c r="E9" s="5" t="s">
        <v>288</v>
      </c>
      <c r="F9" s="5" t="s">
        <v>289</v>
      </c>
    </row>
    <row r="10" ht="43" customHeight="1" spans="1:6" x14ac:dyDescent="0.25">
      <c r="A10" s="6">
        <v>6</v>
      </c>
      <c r="B10" s="6" t="s">
        <v>285</v>
      </c>
      <c r="C10" s="6" t="s">
        <v>290</v>
      </c>
      <c r="D10" s="6" t="s">
        <v>291</v>
      </c>
      <c r="E10" s="6" t="s">
        <v>288</v>
      </c>
      <c r="F10" s="6" t="s">
        <v>292</v>
      </c>
    </row>
    <row r="11" ht="43" customHeight="1" spans="1:6" x14ac:dyDescent="0.25">
      <c r="A11" s="5">
        <v>7</v>
      </c>
      <c r="B11" s="5" t="s">
        <v>13</v>
      </c>
      <c r="C11" s="5" t="s">
        <v>293</v>
      </c>
      <c r="D11" s="5" t="s">
        <v>294</v>
      </c>
      <c r="E11" s="5" t="s">
        <v>288</v>
      </c>
      <c r="F11" s="5" t="s">
        <v>295</v>
      </c>
    </row>
    <row r="12" ht="43" customHeight="1" spans="1:6" x14ac:dyDescent="0.25">
      <c r="A12" s="6">
        <v>8</v>
      </c>
      <c r="B12" s="6" t="s">
        <v>296</v>
      </c>
      <c r="C12" s="6" t="s">
        <v>297</v>
      </c>
      <c r="D12" s="6" t="s">
        <v>298</v>
      </c>
      <c r="E12" s="6" t="s">
        <v>271</v>
      </c>
      <c r="F12" s="6" t="s">
        <v>299</v>
      </c>
    </row>
    <row r="13" ht="43" customHeight="1" spans="1:6" x14ac:dyDescent="0.25">
      <c r="A13" s="5">
        <v>9</v>
      </c>
      <c r="B13" s="5" t="s">
        <v>300</v>
      </c>
      <c r="C13" s="5" t="s">
        <v>301</v>
      </c>
      <c r="D13" s="5" t="s">
        <v>302</v>
      </c>
      <c r="E13" s="5" t="s">
        <v>271</v>
      </c>
      <c r="F13" s="5" t="s">
        <v>303</v>
      </c>
    </row>
    <row r="14" ht="30" customHeight="1" spans="1:6" x14ac:dyDescent="0.25">
      <c r="A14" s="6">
        <v>10</v>
      </c>
      <c r="B14" s="6" t="s">
        <v>304</v>
      </c>
      <c r="C14" s="6" t="s">
        <v>305</v>
      </c>
      <c r="D14" s="6" t="s">
        <v>306</v>
      </c>
      <c r="E14" s="6" t="s">
        <v>307</v>
      </c>
      <c r="F14" s="6" t="s">
        <v>308</v>
      </c>
    </row>
    <row r="15" ht="30" customHeight="1" spans="1:6" x14ac:dyDescent="0.25">
      <c r="A15" s="5">
        <v>11</v>
      </c>
      <c r="B15" s="5" t="s">
        <v>309</v>
      </c>
      <c r="C15" s="5" t="s">
        <v>310</v>
      </c>
      <c r="D15" s="5" t="s">
        <v>311</v>
      </c>
      <c r="E15" s="5" t="s">
        <v>307</v>
      </c>
      <c r="F15" s="5" t="s">
        <v>312</v>
      </c>
    </row>
    <row r="16" ht="43" customHeight="1" spans="1:6" x14ac:dyDescent="0.25">
      <c r="A16" s="6">
        <v>12</v>
      </c>
      <c r="B16" s="6" t="s">
        <v>313</v>
      </c>
      <c r="C16" s="6" t="s">
        <v>314</v>
      </c>
      <c r="D16" s="6" t="s">
        <v>315</v>
      </c>
      <c r="E16" s="6" t="s">
        <v>307</v>
      </c>
      <c r="F16" s="6" t="s">
        <v>316</v>
      </c>
    </row>
    <row r="17" ht="43" customHeight="1" spans="1:6" x14ac:dyDescent="0.25">
      <c r="A17" s="5">
        <v>13</v>
      </c>
      <c r="B17" s="5" t="s">
        <v>317</v>
      </c>
      <c r="C17" s="5" t="s">
        <v>318</v>
      </c>
      <c r="D17" s="5" t="s">
        <v>319</v>
      </c>
      <c r="E17" s="5" t="s">
        <v>284</v>
      </c>
      <c r="F17" s="5" t="s">
        <v>320</v>
      </c>
    </row>
    <row r="19" spans="1:6" x14ac:dyDescent="0.25">
      <c r="A19" s="3" t="s">
        <v>321</v>
      </c>
      <c r="B19" s="3"/>
      <c r="C19" s="3"/>
      <c r="D19" s="3"/>
      <c r="E19" s="3"/>
      <c r="F19" s="3"/>
    </row>
    <row r="20" ht="43" customHeight="1" spans="1:6" x14ac:dyDescent="0.25">
      <c r="A20" s="5" t="s">
        <v>230</v>
      </c>
      <c r="B20" s="5" t="s">
        <v>322</v>
      </c>
      <c r="C20" s="5" t="s">
        <v>323</v>
      </c>
      <c r="D20" s="5" t="s">
        <v>324</v>
      </c>
      <c r="E20" s="5" t="s">
        <v>284</v>
      </c>
      <c r="F20" s="5" t="s">
        <v>284</v>
      </c>
    </row>
    <row r="21" ht="30" customHeight="1" spans="1:6" x14ac:dyDescent="0.25">
      <c r="A21" s="6" t="s">
        <v>230</v>
      </c>
      <c r="B21" s="6" t="s">
        <v>325</v>
      </c>
      <c r="C21" s="6" t="s">
        <v>326</v>
      </c>
      <c r="D21" s="6" t="s">
        <v>327</v>
      </c>
      <c r="E21" s="6" t="s">
        <v>284</v>
      </c>
      <c r="F21" s="6" t="s">
        <v>284</v>
      </c>
    </row>
    <row r="22" ht="30" customHeight="1" spans="1:6" x14ac:dyDescent="0.25">
      <c r="A22" s="5" t="s">
        <v>230</v>
      </c>
      <c r="B22" s="5" t="s">
        <v>328</v>
      </c>
      <c r="C22" s="5" t="s">
        <v>329</v>
      </c>
      <c r="D22" s="5" t="s">
        <v>330</v>
      </c>
      <c r="E22" s="5" t="s">
        <v>284</v>
      </c>
      <c r="F22" s="5" t="s">
        <v>284</v>
      </c>
    </row>
    <row r="23" ht="30" customHeight="1" spans="1:6" x14ac:dyDescent="0.25">
      <c r="A23" s="6" t="s">
        <v>230</v>
      </c>
      <c r="B23" s="6" t="s">
        <v>331</v>
      </c>
      <c r="C23" s="6" t="s">
        <v>332</v>
      </c>
      <c r="D23" s="6" t="s">
        <v>333</v>
      </c>
      <c r="E23" s="6" t="s">
        <v>284</v>
      </c>
      <c r="F23" s="6" t="s">
        <v>284</v>
      </c>
    </row>
    <row r="24" ht="30" customHeight="1" spans="1:6" x14ac:dyDescent="0.25">
      <c r="A24" s="5" t="s">
        <v>230</v>
      </c>
      <c r="B24" s="5" t="s">
        <v>334</v>
      </c>
      <c r="C24" s="5" t="s">
        <v>335</v>
      </c>
      <c r="D24" s="5" t="s">
        <v>336</v>
      </c>
      <c r="E24" s="5" t="s">
        <v>284</v>
      </c>
      <c r="F24" s="5" t="s">
        <v>284</v>
      </c>
    </row>
  </sheetData>
  <mergeCells count="3">
    <mergeCell ref="A1:F1"/>
    <mergeCell ref="A2:F2"/>
    <mergeCell ref="A19:F19"/>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
  <sheetViews>
    <sheetView workbookViewId="0" showGridLines="0">
      <pane xSplit="1" ySplit="4" topLeftCell="B5" activePane="bottomRight" state="frozen"/>
      <selection pane="bottomRight"/>
    </sheetView>
  </sheetViews>
  <sheetFormatPr defaultRowHeight="15" outlineLevelRow="0" outlineLevelCol="0" x14ac:dyDescent="55"/>
  <cols>
    <col min="1" max="1" width="7" customWidth="1"/>
    <col min="2" max="2" width="8" customWidth="1"/>
    <col min="3" max="3" width="24" customWidth="1"/>
    <col min="4" max="5" width="8" customWidth="1"/>
    <col min="6" max="6" width="40" customWidth="1"/>
    <col min="7" max="7" width="30" customWidth="1"/>
    <col min="8" max="10" width="26" customWidth="1"/>
    <col min="11" max="11" width="30" customWidth="1"/>
    <col min="12" max="12" width="12" customWidth="1"/>
    <col min="13" max="13" width="34" customWidth="1"/>
    <col min="14" max="14" width="18" customWidth="1"/>
  </cols>
  <sheetData>
    <row r="1" spans="1:14" x14ac:dyDescent="0.25">
      <c r="A1" s="1" t="s">
        <v>337</v>
      </c>
      <c r="B1" s="1"/>
      <c r="C1" s="1"/>
      <c r="D1" s="1"/>
      <c r="E1" s="1"/>
      <c r="F1" s="1"/>
      <c r="G1" s="1"/>
      <c r="H1" s="1"/>
      <c r="I1" s="1"/>
      <c r="J1" s="1"/>
      <c r="K1" s="1"/>
      <c r="L1" s="1"/>
      <c r="M1" s="1"/>
      <c r="N1" s="1"/>
    </row>
    <row r="2" ht="30" customHeight="1" spans="1:14" x14ac:dyDescent="0.25">
      <c r="A2" s="2" t="s">
        <v>338</v>
      </c>
      <c r="B2" s="2"/>
      <c r="C2" s="2"/>
      <c r="D2" s="2"/>
      <c r="E2" s="2"/>
      <c r="F2" s="2"/>
      <c r="G2" s="2"/>
      <c r="H2" s="2"/>
      <c r="I2" s="2"/>
      <c r="J2" s="2"/>
      <c r="K2" s="2"/>
      <c r="L2" s="2"/>
      <c r="M2" s="2"/>
      <c r="N2" s="2"/>
    </row>
    <row r="4" ht="30" customHeight="1" spans="1:14" x14ac:dyDescent="0.25">
      <c r="A4" s="10" t="s">
        <v>339</v>
      </c>
      <c r="B4" s="10" t="s">
        <v>340</v>
      </c>
      <c r="C4" s="10" t="s">
        <v>341</v>
      </c>
      <c r="D4" s="10" t="s">
        <v>342</v>
      </c>
      <c r="E4" s="10" t="s">
        <v>343</v>
      </c>
      <c r="F4" s="10" t="s">
        <v>344</v>
      </c>
      <c r="G4" s="10" t="s">
        <v>345</v>
      </c>
      <c r="H4" s="10" t="s">
        <v>346</v>
      </c>
      <c r="I4" s="10" t="s">
        <v>347</v>
      </c>
      <c r="J4" s="10" t="s">
        <v>348</v>
      </c>
      <c r="K4" s="10" t="s">
        <v>349</v>
      </c>
      <c r="L4" s="10" t="s">
        <v>350</v>
      </c>
      <c r="M4" s="10" t="s">
        <v>351</v>
      </c>
      <c r="N4" s="10" t="s">
        <v>352</v>
      </c>
    </row>
    <row r="5" ht="43" customHeight="1" spans="1:14" x14ac:dyDescent="0.25">
      <c r="A5" s="5" t="s">
        <v>353</v>
      </c>
      <c r="B5" s="5" t="s">
        <v>354</v>
      </c>
      <c r="C5" s="5" t="s">
        <v>355</v>
      </c>
      <c r="D5" s="12" t="s">
        <v>356</v>
      </c>
      <c r="E5" s="5" t="s">
        <v>356</v>
      </c>
      <c r="F5" s="13" t="s">
        <v>357</v>
      </c>
      <c r="G5" s="5" t="s">
        <v>230</v>
      </c>
      <c r="H5" s="5" t="s">
        <v>358</v>
      </c>
      <c r="I5" s="5" t="s">
        <v>359</v>
      </c>
      <c r="J5" s="5" t="s">
        <v>360</v>
      </c>
      <c r="K5" s="5" t="s">
        <v>361</v>
      </c>
      <c r="L5" s="5" t="s">
        <v>362</v>
      </c>
      <c r="M5" s="5" t="s">
        <v>363</v>
      </c>
      <c r="N5" s="5" t="s">
        <v>364</v>
      </c>
    </row>
    <row r="6" ht="43" customHeight="1" spans="1:14" x14ac:dyDescent="0.25">
      <c r="A6" s="5" t="s">
        <v>365</v>
      </c>
      <c r="B6" s="5" t="s">
        <v>354</v>
      </c>
      <c r="C6" s="5" t="s">
        <v>355</v>
      </c>
      <c r="D6" s="5" t="s">
        <v>366</v>
      </c>
      <c r="E6" s="5" t="s">
        <v>356</v>
      </c>
      <c r="F6" s="13" t="s">
        <v>367</v>
      </c>
      <c r="G6" s="5" t="s">
        <v>230</v>
      </c>
      <c r="H6" s="5" t="s">
        <v>368</v>
      </c>
      <c r="I6" s="5" t="s">
        <v>369</v>
      </c>
      <c r="J6" s="5" t="s">
        <v>370</v>
      </c>
      <c r="K6" s="5" t="s">
        <v>371</v>
      </c>
      <c r="L6" s="5" t="s">
        <v>362</v>
      </c>
      <c r="M6" s="5" t="s">
        <v>372</v>
      </c>
      <c r="N6" s="5" t="s">
        <v>373</v>
      </c>
    </row>
    <row r="7" ht="43" customHeight="1" spans="1:14" x14ac:dyDescent="0.25">
      <c r="A7" s="5" t="s">
        <v>374</v>
      </c>
      <c r="B7" s="5" t="s">
        <v>354</v>
      </c>
      <c r="C7" s="5" t="s">
        <v>355</v>
      </c>
      <c r="D7" s="5" t="s">
        <v>366</v>
      </c>
      <c r="E7" s="5" t="s">
        <v>366</v>
      </c>
      <c r="F7" s="13" t="s">
        <v>375</v>
      </c>
      <c r="G7" s="5" t="s">
        <v>230</v>
      </c>
      <c r="H7" s="5" t="s">
        <v>376</v>
      </c>
      <c r="I7" s="5" t="s">
        <v>377</v>
      </c>
      <c r="J7" s="5" t="s">
        <v>378</v>
      </c>
      <c r="K7" s="5" t="s">
        <v>379</v>
      </c>
      <c r="L7" s="5" t="s">
        <v>362</v>
      </c>
      <c r="M7" s="5" t="s">
        <v>380</v>
      </c>
      <c r="N7" s="5" t="s">
        <v>381</v>
      </c>
    </row>
    <row r="8" ht="43" customHeight="1" spans="1:14" x14ac:dyDescent="0.25">
      <c r="A8" s="6" t="s">
        <v>382</v>
      </c>
      <c r="B8" s="6" t="s">
        <v>354</v>
      </c>
      <c r="C8" s="6" t="s">
        <v>383</v>
      </c>
      <c r="D8" s="14" t="s">
        <v>356</v>
      </c>
      <c r="E8" s="6" t="s">
        <v>356</v>
      </c>
      <c r="F8" s="15" t="s">
        <v>384</v>
      </c>
      <c r="G8" s="6" t="s">
        <v>385</v>
      </c>
      <c r="H8" s="6" t="s">
        <v>386</v>
      </c>
      <c r="I8" s="6" t="s">
        <v>387</v>
      </c>
      <c r="J8" s="6" t="s">
        <v>388</v>
      </c>
      <c r="K8" s="6" t="s">
        <v>389</v>
      </c>
      <c r="L8" s="6" t="s">
        <v>362</v>
      </c>
      <c r="M8" s="6" t="s">
        <v>390</v>
      </c>
      <c r="N8" s="6" t="s">
        <v>373</v>
      </c>
    </row>
    <row r="9" ht="43" customHeight="1" spans="1:14" x14ac:dyDescent="0.25">
      <c r="A9" s="6" t="s">
        <v>391</v>
      </c>
      <c r="B9" s="6" t="s">
        <v>354</v>
      </c>
      <c r="C9" s="6" t="s">
        <v>383</v>
      </c>
      <c r="D9" s="6" t="s">
        <v>366</v>
      </c>
      <c r="E9" s="6" t="s">
        <v>356</v>
      </c>
      <c r="F9" s="15" t="s">
        <v>392</v>
      </c>
      <c r="G9" s="6" t="s">
        <v>230</v>
      </c>
      <c r="H9" s="6" t="s">
        <v>393</v>
      </c>
      <c r="I9" s="6" t="s">
        <v>394</v>
      </c>
      <c r="J9" s="6" t="s">
        <v>395</v>
      </c>
      <c r="K9" s="6" t="s">
        <v>396</v>
      </c>
      <c r="L9" s="6" t="s">
        <v>362</v>
      </c>
      <c r="M9" s="6" t="s">
        <v>397</v>
      </c>
      <c r="N9" s="6" t="s">
        <v>398</v>
      </c>
    </row>
    <row r="10" ht="43" customHeight="1" spans="1:14" x14ac:dyDescent="0.25">
      <c r="A10" s="6" t="s">
        <v>399</v>
      </c>
      <c r="B10" s="6" t="s">
        <v>354</v>
      </c>
      <c r="C10" s="6" t="s">
        <v>383</v>
      </c>
      <c r="D10" s="6" t="s">
        <v>366</v>
      </c>
      <c r="E10" s="6" t="s">
        <v>366</v>
      </c>
      <c r="F10" s="15" t="s">
        <v>400</v>
      </c>
      <c r="G10" s="6" t="s">
        <v>401</v>
      </c>
      <c r="H10" s="6" t="s">
        <v>402</v>
      </c>
      <c r="I10" s="6" t="s">
        <v>403</v>
      </c>
      <c r="J10" s="6" t="s">
        <v>404</v>
      </c>
      <c r="K10" s="6" t="s">
        <v>405</v>
      </c>
      <c r="L10" s="6" t="s">
        <v>362</v>
      </c>
      <c r="M10" s="6" t="s">
        <v>406</v>
      </c>
      <c r="N10" s="6" t="s">
        <v>407</v>
      </c>
    </row>
    <row r="11" ht="56" customHeight="1" spans="1:14" x14ac:dyDescent="0.25">
      <c r="A11" s="5" t="s">
        <v>408</v>
      </c>
      <c r="B11" s="5" t="s">
        <v>409</v>
      </c>
      <c r="C11" s="5" t="s">
        <v>410</v>
      </c>
      <c r="D11" s="5" t="s">
        <v>366</v>
      </c>
      <c r="E11" s="5" t="s">
        <v>356</v>
      </c>
      <c r="F11" s="13" t="s">
        <v>411</v>
      </c>
      <c r="G11" s="5" t="s">
        <v>412</v>
      </c>
      <c r="H11" s="5" t="s">
        <v>413</v>
      </c>
      <c r="I11" s="5" t="s">
        <v>414</v>
      </c>
      <c r="J11" s="5" t="s">
        <v>415</v>
      </c>
      <c r="K11" s="5" t="s">
        <v>416</v>
      </c>
      <c r="L11" s="5" t="s">
        <v>362</v>
      </c>
      <c r="M11" s="5" t="s">
        <v>417</v>
      </c>
      <c r="N11" s="5" t="s">
        <v>418</v>
      </c>
    </row>
    <row r="12" ht="43" customHeight="1" spans="1:14" x14ac:dyDescent="0.25">
      <c r="A12" s="5" t="s">
        <v>419</v>
      </c>
      <c r="B12" s="5" t="s">
        <v>409</v>
      </c>
      <c r="C12" s="5" t="s">
        <v>410</v>
      </c>
      <c r="D12" s="12" t="s">
        <v>356</v>
      </c>
      <c r="E12" s="5" t="s">
        <v>356</v>
      </c>
      <c r="F12" s="13" t="s">
        <v>420</v>
      </c>
      <c r="G12" s="5" t="s">
        <v>230</v>
      </c>
      <c r="H12" s="5" t="s">
        <v>421</v>
      </c>
      <c r="I12" s="5" t="s">
        <v>422</v>
      </c>
      <c r="J12" s="5" t="s">
        <v>423</v>
      </c>
      <c r="K12" s="5" t="s">
        <v>424</v>
      </c>
      <c r="L12" s="5" t="s">
        <v>362</v>
      </c>
      <c r="M12" s="5" t="s">
        <v>425</v>
      </c>
      <c r="N12" s="5" t="s">
        <v>426</v>
      </c>
    </row>
    <row r="13" ht="43" customHeight="1" spans="1:14" x14ac:dyDescent="0.25">
      <c r="A13" s="5" t="s">
        <v>427</v>
      </c>
      <c r="B13" s="5" t="s">
        <v>409</v>
      </c>
      <c r="C13" s="5" t="s">
        <v>410</v>
      </c>
      <c r="D13" s="5" t="s">
        <v>366</v>
      </c>
      <c r="E13" s="5" t="s">
        <v>366</v>
      </c>
      <c r="F13" s="13" t="s">
        <v>428</v>
      </c>
      <c r="G13" s="5" t="s">
        <v>230</v>
      </c>
      <c r="H13" s="5" t="s">
        <v>429</v>
      </c>
      <c r="I13" s="5" t="s">
        <v>430</v>
      </c>
      <c r="J13" s="5" t="s">
        <v>431</v>
      </c>
      <c r="K13" s="5" t="s">
        <v>432</v>
      </c>
      <c r="L13" s="5" t="s">
        <v>362</v>
      </c>
      <c r="M13" s="5" t="s">
        <v>433</v>
      </c>
      <c r="N13" s="5" t="s">
        <v>434</v>
      </c>
    </row>
    <row r="14" ht="43" customHeight="1" spans="1:14" x14ac:dyDescent="0.25">
      <c r="A14" s="6" t="s">
        <v>435</v>
      </c>
      <c r="B14" s="6" t="s">
        <v>409</v>
      </c>
      <c r="C14" s="6" t="s">
        <v>436</v>
      </c>
      <c r="D14" s="14" t="s">
        <v>356</v>
      </c>
      <c r="E14" s="6" t="s">
        <v>356</v>
      </c>
      <c r="F14" s="15" t="s">
        <v>437</v>
      </c>
      <c r="G14" s="6" t="s">
        <v>230</v>
      </c>
      <c r="H14" s="6" t="s">
        <v>438</v>
      </c>
      <c r="I14" s="6" t="s">
        <v>439</v>
      </c>
      <c r="J14" s="6" t="s">
        <v>440</v>
      </c>
      <c r="K14" s="6" t="s">
        <v>441</v>
      </c>
      <c r="L14" s="6" t="s">
        <v>362</v>
      </c>
      <c r="M14" s="6" t="s">
        <v>442</v>
      </c>
      <c r="N14" s="6" t="s">
        <v>443</v>
      </c>
    </row>
    <row r="15" ht="43" customHeight="1" spans="1:14" x14ac:dyDescent="0.25">
      <c r="A15" s="6" t="s">
        <v>444</v>
      </c>
      <c r="B15" s="6" t="s">
        <v>409</v>
      </c>
      <c r="C15" s="6" t="s">
        <v>436</v>
      </c>
      <c r="D15" s="6" t="s">
        <v>366</v>
      </c>
      <c r="E15" s="6" t="s">
        <v>356</v>
      </c>
      <c r="F15" s="15" t="s">
        <v>445</v>
      </c>
      <c r="G15" s="6" t="s">
        <v>230</v>
      </c>
      <c r="H15" s="6" t="s">
        <v>446</v>
      </c>
      <c r="I15" s="6" t="s">
        <v>447</v>
      </c>
      <c r="J15" s="6" t="s">
        <v>448</v>
      </c>
      <c r="K15" s="6" t="s">
        <v>449</v>
      </c>
      <c r="L15" s="6" t="s">
        <v>362</v>
      </c>
      <c r="M15" s="6" t="s">
        <v>450</v>
      </c>
      <c r="N15" s="6" t="s">
        <v>451</v>
      </c>
    </row>
    <row r="16" ht="43" customHeight="1" spans="1:14" x14ac:dyDescent="0.25">
      <c r="A16" s="6" t="s">
        <v>452</v>
      </c>
      <c r="B16" s="6" t="s">
        <v>409</v>
      </c>
      <c r="C16" s="6" t="s">
        <v>436</v>
      </c>
      <c r="D16" s="6" t="s">
        <v>366</v>
      </c>
      <c r="E16" s="6" t="s">
        <v>366</v>
      </c>
      <c r="F16" s="15" t="s">
        <v>453</v>
      </c>
      <c r="G16" s="6" t="s">
        <v>230</v>
      </c>
      <c r="H16" s="6" t="s">
        <v>454</v>
      </c>
      <c r="I16" s="6" t="s">
        <v>455</v>
      </c>
      <c r="J16" s="6" t="s">
        <v>456</v>
      </c>
      <c r="K16" s="6" t="s">
        <v>457</v>
      </c>
      <c r="L16" s="6" t="s">
        <v>362</v>
      </c>
      <c r="M16" s="6" t="s">
        <v>458</v>
      </c>
      <c r="N16" s="6" t="s">
        <v>373</v>
      </c>
    </row>
    <row r="17" ht="43" customHeight="1" spans="1:14" x14ac:dyDescent="0.25">
      <c r="A17" s="5" t="s">
        <v>459</v>
      </c>
      <c r="B17" s="5" t="s">
        <v>460</v>
      </c>
      <c r="C17" s="5" t="s">
        <v>461</v>
      </c>
      <c r="D17" s="12" t="s">
        <v>356</v>
      </c>
      <c r="E17" s="5" t="s">
        <v>356</v>
      </c>
      <c r="F17" s="13" t="s">
        <v>462</v>
      </c>
      <c r="G17" s="5" t="s">
        <v>230</v>
      </c>
      <c r="H17" s="5" t="s">
        <v>463</v>
      </c>
      <c r="I17" s="5" t="s">
        <v>464</v>
      </c>
      <c r="J17" s="5" t="s">
        <v>465</v>
      </c>
      <c r="K17" s="5" t="s">
        <v>466</v>
      </c>
      <c r="L17" s="5" t="s">
        <v>362</v>
      </c>
      <c r="M17" s="5" t="s">
        <v>467</v>
      </c>
      <c r="N17" s="5" t="s">
        <v>468</v>
      </c>
    </row>
    <row r="18" ht="43" customHeight="1" spans="1:14" x14ac:dyDescent="0.25">
      <c r="A18" s="5" t="s">
        <v>469</v>
      </c>
      <c r="B18" s="5" t="s">
        <v>460</v>
      </c>
      <c r="C18" s="5" t="s">
        <v>461</v>
      </c>
      <c r="D18" s="5" t="s">
        <v>366</v>
      </c>
      <c r="E18" s="5" t="s">
        <v>356</v>
      </c>
      <c r="F18" s="13" t="s">
        <v>470</v>
      </c>
      <c r="G18" s="5" t="s">
        <v>471</v>
      </c>
      <c r="H18" s="5" t="s">
        <v>472</v>
      </c>
      <c r="I18" s="5" t="s">
        <v>473</v>
      </c>
      <c r="J18" s="5" t="s">
        <v>474</v>
      </c>
      <c r="K18" s="5" t="s">
        <v>475</v>
      </c>
      <c r="L18" s="5" t="s">
        <v>362</v>
      </c>
      <c r="M18" s="5" t="s">
        <v>476</v>
      </c>
      <c r="N18" s="5" t="s">
        <v>477</v>
      </c>
    </row>
    <row r="19" ht="56" customHeight="1" spans="1:14" x14ac:dyDescent="0.25">
      <c r="A19" s="5" t="s">
        <v>478</v>
      </c>
      <c r="B19" s="5" t="s">
        <v>460</v>
      </c>
      <c r="C19" s="5" t="s">
        <v>461</v>
      </c>
      <c r="D19" s="5" t="s">
        <v>366</v>
      </c>
      <c r="E19" s="5" t="s">
        <v>366</v>
      </c>
      <c r="F19" s="13" t="s">
        <v>479</v>
      </c>
      <c r="G19" s="5" t="s">
        <v>230</v>
      </c>
      <c r="H19" s="5" t="s">
        <v>480</v>
      </c>
      <c r="I19" s="5" t="s">
        <v>481</v>
      </c>
      <c r="J19" s="5" t="s">
        <v>482</v>
      </c>
      <c r="K19" s="5" t="s">
        <v>483</v>
      </c>
      <c r="L19" s="5" t="s">
        <v>362</v>
      </c>
      <c r="M19" s="5" t="s">
        <v>484</v>
      </c>
      <c r="N19" s="5" t="s">
        <v>485</v>
      </c>
    </row>
    <row r="20" ht="43" customHeight="1" spans="1:14" x14ac:dyDescent="0.25">
      <c r="A20" s="6" t="s">
        <v>486</v>
      </c>
      <c r="B20" s="6" t="s">
        <v>460</v>
      </c>
      <c r="C20" s="6" t="s">
        <v>487</v>
      </c>
      <c r="D20" s="14" t="s">
        <v>356</v>
      </c>
      <c r="E20" s="6" t="s">
        <v>356</v>
      </c>
      <c r="F20" s="15" t="s">
        <v>488</v>
      </c>
      <c r="G20" s="6" t="s">
        <v>230</v>
      </c>
      <c r="H20" s="6" t="s">
        <v>489</v>
      </c>
      <c r="I20" s="6" t="s">
        <v>490</v>
      </c>
      <c r="J20" s="6" t="s">
        <v>491</v>
      </c>
      <c r="K20" s="6" t="s">
        <v>492</v>
      </c>
      <c r="L20" s="6" t="s">
        <v>362</v>
      </c>
      <c r="M20" s="6" t="s">
        <v>493</v>
      </c>
      <c r="N20" s="6" t="s">
        <v>494</v>
      </c>
    </row>
    <row r="21" ht="56" customHeight="1" spans="1:14" x14ac:dyDescent="0.25">
      <c r="A21" s="6" t="s">
        <v>495</v>
      </c>
      <c r="B21" s="6" t="s">
        <v>460</v>
      </c>
      <c r="C21" s="6" t="s">
        <v>487</v>
      </c>
      <c r="D21" s="6" t="s">
        <v>366</v>
      </c>
      <c r="E21" s="6" t="s">
        <v>356</v>
      </c>
      <c r="F21" s="15" t="s">
        <v>496</v>
      </c>
      <c r="G21" s="6" t="s">
        <v>497</v>
      </c>
      <c r="H21" s="6" t="s">
        <v>498</v>
      </c>
      <c r="I21" s="6" t="s">
        <v>499</v>
      </c>
      <c r="J21" s="6" t="s">
        <v>500</v>
      </c>
      <c r="K21" s="6" t="s">
        <v>501</v>
      </c>
      <c r="L21" s="6" t="s">
        <v>362</v>
      </c>
      <c r="M21" s="6" t="s">
        <v>502</v>
      </c>
      <c r="N21" s="6" t="s">
        <v>503</v>
      </c>
    </row>
    <row r="22" ht="43" customHeight="1" spans="1:14" x14ac:dyDescent="0.25">
      <c r="A22" s="6" t="s">
        <v>504</v>
      </c>
      <c r="B22" s="6" t="s">
        <v>460</v>
      </c>
      <c r="C22" s="6" t="s">
        <v>487</v>
      </c>
      <c r="D22" s="6" t="s">
        <v>366</v>
      </c>
      <c r="E22" s="6" t="s">
        <v>366</v>
      </c>
      <c r="F22" s="15" t="s">
        <v>505</v>
      </c>
      <c r="G22" s="6" t="s">
        <v>230</v>
      </c>
      <c r="H22" s="6" t="s">
        <v>506</v>
      </c>
      <c r="I22" s="6" t="s">
        <v>507</v>
      </c>
      <c r="J22" s="6" t="s">
        <v>508</v>
      </c>
      <c r="K22" s="6" t="s">
        <v>509</v>
      </c>
      <c r="L22" s="6" t="s">
        <v>362</v>
      </c>
      <c r="M22" s="6" t="s">
        <v>510</v>
      </c>
      <c r="N22" s="6" t="s">
        <v>511</v>
      </c>
    </row>
    <row r="24" spans="1:14" x14ac:dyDescent="0.25">
      <c r="A24" s="3" t="s">
        <v>512</v>
      </c>
      <c r="B24" s="3"/>
      <c r="C24" s="3"/>
      <c r="D24" s="3"/>
      <c r="E24" s="3"/>
      <c r="F24" s="3"/>
      <c r="G24" s="3"/>
      <c r="H24" s="3"/>
      <c r="I24" s="3"/>
      <c r="J24" s="3"/>
      <c r="K24" s="3"/>
      <c r="L24" s="3"/>
      <c r="M24" s="3"/>
      <c r="N24" s="3"/>
    </row>
    <row r="25" ht="43" customHeight="1" spans="1:6" x14ac:dyDescent="0.25">
      <c r="A25" s="5" t="s">
        <v>354</v>
      </c>
      <c r="B25" s="5" t="s">
        <v>230</v>
      </c>
      <c r="C25" s="5" t="s">
        <v>355</v>
      </c>
      <c r="D25" s="5" t="s">
        <v>230</v>
      </c>
      <c r="E25" s="5" t="s">
        <v>230</v>
      </c>
      <c r="F25" s="5" t="s">
        <v>513</v>
      </c>
    </row>
    <row r="26" ht="43" customHeight="1" spans="1:6" x14ac:dyDescent="0.25">
      <c r="A26" s="6" t="s">
        <v>354</v>
      </c>
      <c r="B26" s="6" t="s">
        <v>230</v>
      </c>
      <c r="C26" s="6" t="s">
        <v>383</v>
      </c>
      <c r="D26" s="6" t="s">
        <v>230</v>
      </c>
      <c r="E26" s="6" t="s">
        <v>230</v>
      </c>
      <c r="F26" s="6" t="s">
        <v>514</v>
      </c>
    </row>
    <row r="27" ht="43" customHeight="1" spans="1:6" x14ac:dyDescent="0.25">
      <c r="A27" s="5" t="s">
        <v>409</v>
      </c>
      <c r="B27" s="5" t="s">
        <v>230</v>
      </c>
      <c r="C27" s="5" t="s">
        <v>410</v>
      </c>
      <c r="D27" s="5" t="s">
        <v>230</v>
      </c>
      <c r="E27" s="5" t="s">
        <v>230</v>
      </c>
      <c r="F27" s="5" t="s">
        <v>515</v>
      </c>
    </row>
    <row r="28" ht="43" customHeight="1" spans="1:6" x14ac:dyDescent="0.25">
      <c r="A28" s="6" t="s">
        <v>409</v>
      </c>
      <c r="B28" s="6" t="s">
        <v>230</v>
      </c>
      <c r="C28" s="6" t="s">
        <v>436</v>
      </c>
      <c r="D28" s="6" t="s">
        <v>230</v>
      </c>
      <c r="E28" s="6" t="s">
        <v>230</v>
      </c>
      <c r="F28" s="6" t="s">
        <v>516</v>
      </c>
    </row>
    <row r="29" ht="56" customHeight="1" spans="1:6" x14ac:dyDescent="0.25">
      <c r="A29" s="5" t="s">
        <v>460</v>
      </c>
      <c r="B29" s="5" t="s">
        <v>230</v>
      </c>
      <c r="C29" s="5" t="s">
        <v>461</v>
      </c>
      <c r="D29" s="5" t="s">
        <v>230</v>
      </c>
      <c r="E29" s="5" t="s">
        <v>230</v>
      </c>
      <c r="F29" s="5" t="s">
        <v>517</v>
      </c>
    </row>
    <row r="30" ht="43" customHeight="1" spans="1:6" x14ac:dyDescent="0.25">
      <c r="A30" s="6" t="s">
        <v>460</v>
      </c>
      <c r="B30" s="6" t="s">
        <v>230</v>
      </c>
      <c r="C30" s="6" t="s">
        <v>487</v>
      </c>
      <c r="D30" s="6" t="s">
        <v>230</v>
      </c>
      <c r="E30" s="6" t="s">
        <v>230</v>
      </c>
      <c r="F30" s="6" t="s">
        <v>518</v>
      </c>
    </row>
  </sheetData>
  <autoFilter ref="A4:N4"/>
  <mergeCells count="3">
    <mergeCell ref="A1:N1"/>
    <mergeCell ref="A2:N2"/>
    <mergeCell ref="A24:N24"/>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workbookViewId="0" showGridLines="0">
      <pane ySplit="4" topLeftCell="A5" activePane="bottomLeft" state="frozen"/>
      <selection pane="bottomLeft"/>
    </sheetView>
  </sheetViews>
  <sheetFormatPr defaultRowHeight="15" outlineLevelRow="0" outlineLevelCol="0" x14ac:dyDescent="55"/>
  <cols>
    <col min="1" max="1" width="7" customWidth="1"/>
    <col min="2" max="2" width="14" customWidth="1"/>
    <col min="3" max="3" width="34" customWidth="1"/>
    <col min="4" max="4" width="42" customWidth="1"/>
    <col min="5" max="5" width="38" customWidth="1"/>
    <col min="6" max="6" width="28" customWidth="1"/>
    <col min="7" max="7" width="36" customWidth="1"/>
  </cols>
  <sheetData>
    <row r="1" spans="1:7" x14ac:dyDescent="0.25">
      <c r="A1" s="1" t="s">
        <v>519</v>
      </c>
      <c r="B1" s="1"/>
      <c r="C1" s="1"/>
      <c r="D1" s="1"/>
      <c r="E1" s="1"/>
      <c r="F1" s="1"/>
      <c r="G1" s="1"/>
    </row>
    <row r="2" ht="30" customHeight="1" spans="1:7" x14ac:dyDescent="0.25">
      <c r="A2" s="2" t="s">
        <v>520</v>
      </c>
      <c r="B2" s="2"/>
      <c r="C2" s="2"/>
      <c r="D2" s="2"/>
      <c r="E2" s="2"/>
      <c r="F2" s="2"/>
      <c r="G2" s="2"/>
    </row>
    <row r="4" ht="30" customHeight="1" spans="1:7" x14ac:dyDescent="0.25">
      <c r="A4" s="10" t="s">
        <v>339</v>
      </c>
      <c r="B4" s="10" t="s">
        <v>521</v>
      </c>
      <c r="C4" s="10" t="s">
        <v>344</v>
      </c>
      <c r="D4" s="10" t="s">
        <v>522</v>
      </c>
      <c r="E4" s="10" t="s">
        <v>523</v>
      </c>
      <c r="F4" s="10" t="s">
        <v>524</v>
      </c>
      <c r="G4" s="10" t="s">
        <v>525</v>
      </c>
    </row>
    <row r="5" ht="56" customHeight="1" spans="1:7" x14ac:dyDescent="0.25">
      <c r="A5" s="5" t="s">
        <v>526</v>
      </c>
      <c r="B5" s="5" t="s">
        <v>527</v>
      </c>
      <c r="C5" s="13" t="s">
        <v>528</v>
      </c>
      <c r="D5" s="5" t="s">
        <v>529</v>
      </c>
      <c r="E5" s="5" t="s">
        <v>530</v>
      </c>
      <c r="F5" s="5" t="s">
        <v>531</v>
      </c>
      <c r="G5" s="5" t="s">
        <v>532</v>
      </c>
    </row>
    <row r="6" ht="43" customHeight="1" spans="1:7" x14ac:dyDescent="0.25">
      <c r="A6" s="5" t="s">
        <v>526</v>
      </c>
      <c r="B6" s="5" t="s">
        <v>230</v>
      </c>
      <c r="C6" s="5" t="s">
        <v>230</v>
      </c>
      <c r="D6" s="5" t="s">
        <v>533</v>
      </c>
      <c r="E6" s="5" t="s">
        <v>534</v>
      </c>
      <c r="F6" s="5" t="s">
        <v>531</v>
      </c>
      <c r="G6" s="5" t="s">
        <v>535</v>
      </c>
    </row>
    <row r="7" ht="43" customHeight="1" spans="1:7" x14ac:dyDescent="0.25">
      <c r="A7" s="5" t="s">
        <v>526</v>
      </c>
      <c r="B7" s="5" t="s">
        <v>230</v>
      </c>
      <c r="C7" s="5" t="s">
        <v>230</v>
      </c>
      <c r="D7" s="5" t="s">
        <v>536</v>
      </c>
      <c r="E7" s="5" t="s">
        <v>537</v>
      </c>
      <c r="F7" s="5" t="s">
        <v>538</v>
      </c>
      <c r="G7" s="5" t="s">
        <v>539</v>
      </c>
    </row>
    <row r="8" ht="43" customHeight="1" spans="1:7" x14ac:dyDescent="0.25">
      <c r="A8" s="5" t="s">
        <v>526</v>
      </c>
      <c r="B8" s="5" t="s">
        <v>230</v>
      </c>
      <c r="C8" s="5" t="s">
        <v>230</v>
      </c>
      <c r="D8" s="5" t="s">
        <v>540</v>
      </c>
      <c r="E8" s="5" t="s">
        <v>541</v>
      </c>
      <c r="F8" s="5" t="s">
        <v>542</v>
      </c>
      <c r="G8" s="5" t="s">
        <v>543</v>
      </c>
    </row>
    <row r="9" ht="43" customHeight="1" spans="1:7" x14ac:dyDescent="0.25">
      <c r="A9" s="5" t="s">
        <v>526</v>
      </c>
      <c r="B9" s="5" t="s">
        <v>230</v>
      </c>
      <c r="C9" s="5" t="s">
        <v>230</v>
      </c>
      <c r="D9" s="5" t="s">
        <v>544</v>
      </c>
      <c r="E9" s="5" t="s">
        <v>545</v>
      </c>
      <c r="F9" s="5" t="s">
        <v>546</v>
      </c>
      <c r="G9" s="5" t="s">
        <v>547</v>
      </c>
    </row>
    <row r="10" ht="30" customHeight="1" spans="1:7" x14ac:dyDescent="0.25">
      <c r="A10" s="5" t="s">
        <v>526</v>
      </c>
      <c r="B10" s="5" t="s">
        <v>230</v>
      </c>
      <c r="C10" s="5" t="s">
        <v>230</v>
      </c>
      <c r="D10" s="5" t="s">
        <v>548</v>
      </c>
      <c r="E10" s="5" t="s">
        <v>549</v>
      </c>
      <c r="F10" s="5" t="s">
        <v>550</v>
      </c>
      <c r="G10" s="5" t="s">
        <v>551</v>
      </c>
    </row>
    <row r="11" ht="30" customHeight="1" spans="1:7" x14ac:dyDescent="0.25">
      <c r="A11" s="5" t="s">
        <v>526</v>
      </c>
      <c r="B11" s="5" t="s">
        <v>230</v>
      </c>
      <c r="C11" s="5" t="s">
        <v>230</v>
      </c>
      <c r="D11" s="5" t="s">
        <v>552</v>
      </c>
      <c r="E11" s="5" t="s">
        <v>553</v>
      </c>
      <c r="F11" s="5" t="s">
        <v>554</v>
      </c>
      <c r="G11" s="5" t="s">
        <v>555</v>
      </c>
    </row>
    <row r="12" ht="43" customHeight="1" spans="1:7" x14ac:dyDescent="0.25">
      <c r="A12" s="5" t="s">
        <v>526</v>
      </c>
      <c r="B12" s="5" t="s">
        <v>230</v>
      </c>
      <c r="C12" s="5" t="s">
        <v>230</v>
      </c>
      <c r="D12" s="5" t="s">
        <v>556</v>
      </c>
      <c r="E12" s="5" t="s">
        <v>557</v>
      </c>
      <c r="F12" s="5" t="s">
        <v>558</v>
      </c>
      <c r="G12" s="5" t="s">
        <v>559</v>
      </c>
    </row>
    <row r="13" ht="30" customHeight="1" spans="1:7" x14ac:dyDescent="0.25">
      <c r="A13" s="6" t="s">
        <v>560</v>
      </c>
      <c r="B13" s="6" t="s">
        <v>561</v>
      </c>
      <c r="C13" s="15" t="s">
        <v>562</v>
      </c>
      <c r="D13" s="6" t="s">
        <v>563</v>
      </c>
      <c r="E13" s="6" t="s">
        <v>284</v>
      </c>
      <c r="F13" s="6" t="s">
        <v>564</v>
      </c>
      <c r="G13" s="6" t="s">
        <v>565</v>
      </c>
    </row>
    <row r="14" ht="30" customHeight="1" spans="1:7" x14ac:dyDescent="0.25">
      <c r="A14" s="6" t="s">
        <v>560</v>
      </c>
      <c r="B14" s="6" t="s">
        <v>230</v>
      </c>
      <c r="C14" s="6" t="s">
        <v>230</v>
      </c>
      <c r="D14" s="6" t="s">
        <v>566</v>
      </c>
      <c r="E14" s="6" t="s">
        <v>284</v>
      </c>
      <c r="F14" s="6" t="s">
        <v>558</v>
      </c>
      <c r="G14" s="6" t="s">
        <v>567</v>
      </c>
    </row>
    <row r="15" ht="30" customHeight="1" spans="1:7" x14ac:dyDescent="0.25">
      <c r="A15" s="6" t="s">
        <v>560</v>
      </c>
      <c r="B15" s="6" t="s">
        <v>230</v>
      </c>
      <c r="C15" s="6" t="s">
        <v>230</v>
      </c>
      <c r="D15" s="6" t="s">
        <v>568</v>
      </c>
      <c r="E15" s="6" t="s">
        <v>284</v>
      </c>
      <c r="F15" s="6" t="s">
        <v>531</v>
      </c>
      <c r="G15" s="6" t="s">
        <v>569</v>
      </c>
    </row>
    <row r="16" ht="30" customHeight="1" spans="1:7" x14ac:dyDescent="0.25">
      <c r="A16" s="6" t="s">
        <v>560</v>
      </c>
      <c r="B16" s="6" t="s">
        <v>230</v>
      </c>
      <c r="C16" s="6" t="s">
        <v>230</v>
      </c>
      <c r="D16" s="6" t="s">
        <v>570</v>
      </c>
      <c r="E16" s="6" t="s">
        <v>284</v>
      </c>
      <c r="F16" s="6" t="s">
        <v>571</v>
      </c>
      <c r="G16" s="6" t="s">
        <v>572</v>
      </c>
    </row>
    <row r="17" ht="43" customHeight="1" spans="1:7" x14ac:dyDescent="0.25">
      <c r="A17" s="6" t="s">
        <v>560</v>
      </c>
      <c r="B17" s="6" t="s">
        <v>230</v>
      </c>
      <c r="C17" s="6" t="s">
        <v>230</v>
      </c>
      <c r="D17" s="6" t="s">
        <v>573</v>
      </c>
      <c r="E17" s="6" t="s">
        <v>284</v>
      </c>
      <c r="F17" s="6" t="s">
        <v>574</v>
      </c>
      <c r="G17" s="6" t="s">
        <v>575</v>
      </c>
    </row>
    <row r="18" ht="30" customHeight="1" spans="1:7" x14ac:dyDescent="0.25">
      <c r="A18" s="6" t="s">
        <v>560</v>
      </c>
      <c r="B18" s="6" t="s">
        <v>230</v>
      </c>
      <c r="C18" s="6" t="s">
        <v>230</v>
      </c>
      <c r="D18" s="6" t="s">
        <v>576</v>
      </c>
      <c r="E18" s="6" t="s">
        <v>284</v>
      </c>
      <c r="F18" s="6" t="s">
        <v>577</v>
      </c>
      <c r="G18" s="6" t="s">
        <v>578</v>
      </c>
    </row>
    <row r="19" ht="43" customHeight="1" spans="1:7" x14ac:dyDescent="0.25">
      <c r="A19" s="6" t="s">
        <v>560</v>
      </c>
      <c r="B19" s="6" t="s">
        <v>230</v>
      </c>
      <c r="C19" s="6" t="s">
        <v>230</v>
      </c>
      <c r="D19" s="6" t="s">
        <v>579</v>
      </c>
      <c r="E19" s="6" t="s">
        <v>580</v>
      </c>
      <c r="F19" s="6" t="s">
        <v>581</v>
      </c>
      <c r="G19" s="6" t="s">
        <v>582</v>
      </c>
    </row>
    <row r="20" ht="17" customHeight="1" spans="1:7" x14ac:dyDescent="0.25">
      <c r="A20" s="6" t="s">
        <v>560</v>
      </c>
      <c r="B20" s="6" t="s">
        <v>230</v>
      </c>
      <c r="C20" s="6" t="s">
        <v>230</v>
      </c>
      <c r="D20" s="6" t="s">
        <v>583</v>
      </c>
      <c r="E20" s="6" t="s">
        <v>284</v>
      </c>
      <c r="F20" s="6" t="s">
        <v>584</v>
      </c>
      <c r="G20" s="6" t="s">
        <v>585</v>
      </c>
    </row>
    <row r="21" ht="43" customHeight="1" spans="1:7" x14ac:dyDescent="0.25">
      <c r="A21" s="5" t="s">
        <v>586</v>
      </c>
      <c r="B21" s="5" t="s">
        <v>587</v>
      </c>
      <c r="C21" s="13" t="s">
        <v>588</v>
      </c>
      <c r="D21" s="5" t="s">
        <v>589</v>
      </c>
      <c r="E21" s="5" t="s">
        <v>590</v>
      </c>
      <c r="F21" s="5" t="s">
        <v>591</v>
      </c>
      <c r="G21" s="5" t="s">
        <v>592</v>
      </c>
    </row>
    <row r="22" ht="43" customHeight="1" spans="1:7" x14ac:dyDescent="0.25">
      <c r="A22" s="5" t="s">
        <v>586</v>
      </c>
      <c r="B22" s="5" t="s">
        <v>230</v>
      </c>
      <c r="C22" s="5" t="s">
        <v>230</v>
      </c>
      <c r="D22" s="5" t="s">
        <v>593</v>
      </c>
      <c r="E22" s="5" t="s">
        <v>594</v>
      </c>
      <c r="F22" s="5" t="s">
        <v>591</v>
      </c>
      <c r="G22" s="5" t="s">
        <v>595</v>
      </c>
    </row>
    <row r="23" ht="30" customHeight="1" spans="1:7" x14ac:dyDescent="0.25">
      <c r="A23" s="5" t="s">
        <v>586</v>
      </c>
      <c r="B23" s="5" t="s">
        <v>230</v>
      </c>
      <c r="C23" s="5" t="s">
        <v>230</v>
      </c>
      <c r="D23" s="5" t="s">
        <v>596</v>
      </c>
      <c r="E23" s="5" t="s">
        <v>597</v>
      </c>
      <c r="F23" s="5" t="s">
        <v>591</v>
      </c>
      <c r="G23" s="5" t="s">
        <v>598</v>
      </c>
    </row>
    <row r="24" ht="17" customHeight="1" spans="1:7" x14ac:dyDescent="0.25">
      <c r="A24" s="5" t="s">
        <v>586</v>
      </c>
      <c r="B24" s="5" t="s">
        <v>230</v>
      </c>
      <c r="C24" s="5" t="s">
        <v>230</v>
      </c>
      <c r="D24" s="5" t="s">
        <v>599</v>
      </c>
      <c r="E24" s="5" t="s">
        <v>600</v>
      </c>
      <c r="F24" s="5" t="s">
        <v>591</v>
      </c>
      <c r="G24" s="5" t="s">
        <v>601</v>
      </c>
    </row>
    <row r="25" ht="30" customHeight="1" spans="1:7" x14ac:dyDescent="0.25">
      <c r="A25" s="5" t="s">
        <v>586</v>
      </c>
      <c r="B25" s="5" t="s">
        <v>230</v>
      </c>
      <c r="C25" s="5" t="s">
        <v>230</v>
      </c>
      <c r="D25" s="5" t="s">
        <v>602</v>
      </c>
      <c r="E25" s="5" t="s">
        <v>603</v>
      </c>
      <c r="F25" s="5" t="s">
        <v>591</v>
      </c>
      <c r="G25" s="5" t="s">
        <v>604</v>
      </c>
    </row>
    <row r="26" ht="43" customHeight="1" spans="1:7" x14ac:dyDescent="0.25">
      <c r="A26" s="5" t="s">
        <v>586</v>
      </c>
      <c r="B26" s="5" t="s">
        <v>230</v>
      </c>
      <c r="C26" s="5" t="s">
        <v>230</v>
      </c>
      <c r="D26" s="5" t="s">
        <v>605</v>
      </c>
      <c r="E26" s="5" t="s">
        <v>606</v>
      </c>
      <c r="F26" s="5" t="s">
        <v>607</v>
      </c>
      <c r="G26" s="5" t="s">
        <v>608</v>
      </c>
    </row>
    <row r="27" ht="43" customHeight="1" spans="1:7" x14ac:dyDescent="0.25">
      <c r="A27" s="5" t="s">
        <v>586</v>
      </c>
      <c r="B27" s="5" t="s">
        <v>230</v>
      </c>
      <c r="C27" s="5" t="s">
        <v>230</v>
      </c>
      <c r="D27" s="5" t="s">
        <v>609</v>
      </c>
      <c r="E27" s="5" t="s">
        <v>284</v>
      </c>
      <c r="F27" s="5" t="s">
        <v>591</v>
      </c>
      <c r="G27" s="5" t="s">
        <v>610</v>
      </c>
    </row>
    <row r="28" ht="17" customHeight="1" spans="1:7" x14ac:dyDescent="0.25">
      <c r="A28" s="5" t="s">
        <v>586</v>
      </c>
      <c r="B28" s="5" t="s">
        <v>230</v>
      </c>
      <c r="C28" s="5" t="s">
        <v>230</v>
      </c>
      <c r="D28" s="5" t="s">
        <v>583</v>
      </c>
      <c r="E28" s="5" t="s">
        <v>284</v>
      </c>
      <c r="F28" s="5" t="s">
        <v>284</v>
      </c>
      <c r="G28" s="5" t="s">
        <v>611</v>
      </c>
    </row>
    <row r="29" ht="30" customHeight="1" spans="1:7" x14ac:dyDescent="0.25">
      <c r="A29" s="6" t="s">
        <v>612</v>
      </c>
      <c r="B29" s="6" t="s">
        <v>613</v>
      </c>
      <c r="C29" s="15" t="s">
        <v>614</v>
      </c>
      <c r="D29" s="6" t="s">
        <v>615</v>
      </c>
      <c r="E29" s="6" t="s">
        <v>284</v>
      </c>
      <c r="F29" s="6" t="s">
        <v>616</v>
      </c>
      <c r="G29" s="6" t="s">
        <v>617</v>
      </c>
    </row>
    <row r="30" ht="17" customHeight="1" spans="1:7" x14ac:dyDescent="0.25">
      <c r="A30" s="6" t="s">
        <v>612</v>
      </c>
      <c r="B30" s="6" t="s">
        <v>230</v>
      </c>
      <c r="C30" s="6" t="s">
        <v>230</v>
      </c>
      <c r="D30" s="6" t="s">
        <v>618</v>
      </c>
      <c r="E30" s="6" t="s">
        <v>284</v>
      </c>
      <c r="F30" s="6" t="s">
        <v>616</v>
      </c>
      <c r="G30" s="6" t="s">
        <v>619</v>
      </c>
    </row>
    <row r="31" ht="17" customHeight="1" spans="1:7" x14ac:dyDescent="0.25">
      <c r="A31" s="6" t="s">
        <v>612</v>
      </c>
      <c r="B31" s="6" t="s">
        <v>230</v>
      </c>
      <c r="C31" s="6" t="s">
        <v>230</v>
      </c>
      <c r="D31" s="6" t="s">
        <v>620</v>
      </c>
      <c r="E31" s="6" t="s">
        <v>284</v>
      </c>
      <c r="F31" s="6" t="s">
        <v>616</v>
      </c>
      <c r="G31" s="6" t="s">
        <v>621</v>
      </c>
    </row>
    <row r="32" ht="17" customHeight="1" spans="1:7" x14ac:dyDescent="0.25">
      <c r="A32" s="6" t="s">
        <v>612</v>
      </c>
      <c r="B32" s="6" t="s">
        <v>230</v>
      </c>
      <c r="C32" s="6" t="s">
        <v>230</v>
      </c>
      <c r="D32" s="6" t="s">
        <v>622</v>
      </c>
      <c r="E32" s="6" t="s">
        <v>284</v>
      </c>
      <c r="F32" s="6" t="s">
        <v>616</v>
      </c>
      <c r="G32" s="6" t="s">
        <v>623</v>
      </c>
    </row>
  </sheetData>
  <mergeCells count="2">
    <mergeCell ref="A1:G1"/>
    <mergeCell ref="A2:G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8"/>
  <sheetViews>
    <sheetView workbookViewId="0" showGridLines="0"/>
  </sheetViews>
  <sheetFormatPr defaultRowHeight="15" outlineLevelRow="0" outlineLevelCol="0" x14ac:dyDescent="55"/>
  <cols>
    <col min="1" max="1" width="32" customWidth="1"/>
    <col min="2" max="2" width="11" customWidth="1"/>
    <col min="3" max="3" width="26" customWidth="1"/>
    <col min="4" max="5" width="11" customWidth="1"/>
    <col min="6" max="6" width="13" customWidth="1"/>
    <col min="7" max="7" width="12" customWidth="1"/>
    <col min="8" max="8" width="11" customWidth="1"/>
    <col min="9" max="9" width="12" customWidth="1"/>
    <col min="10" max="10" width="11" customWidth="1"/>
  </cols>
  <sheetData>
    <row r="1" spans="1:10" x14ac:dyDescent="0.25">
      <c r="A1" s="1" t="s">
        <v>624</v>
      </c>
      <c r="B1" s="1"/>
      <c r="C1" s="1"/>
      <c r="D1" s="1"/>
      <c r="E1" s="1"/>
      <c r="F1" s="1"/>
      <c r="G1" s="1"/>
      <c r="H1" s="1"/>
      <c r="I1" s="1"/>
      <c r="J1" s="1"/>
    </row>
    <row r="2" ht="30" customHeight="1" spans="1:10" x14ac:dyDescent="0.25">
      <c r="A2" s="2" t="s">
        <v>625</v>
      </c>
      <c r="B2" s="2"/>
      <c r="C2" s="2"/>
      <c r="D2" s="2"/>
      <c r="E2" s="2"/>
      <c r="F2" s="2"/>
      <c r="G2" s="2"/>
      <c r="H2" s="2"/>
      <c r="I2" s="2"/>
      <c r="J2" s="2"/>
    </row>
    <row r="3" spans="1:10" x14ac:dyDescent="0.25">
      <c r="A3" s="3" t="s">
        <v>626</v>
      </c>
      <c r="B3" s="3"/>
      <c r="C3" s="3"/>
      <c r="D3" s="3"/>
      <c r="E3" s="3"/>
      <c r="F3" s="3"/>
      <c r="G3" s="3"/>
      <c r="H3" s="3"/>
      <c r="I3" s="3"/>
      <c r="J3" s="3"/>
    </row>
    <row r="4" spans="1:7" x14ac:dyDescent="0.25">
      <c r="A4" s="16" t="s">
        <v>627</v>
      </c>
      <c r="B4" s="17">
        <v>0.5</v>
      </c>
      <c r="C4" s="18" t="s">
        <v>628</v>
      </c>
      <c r="D4" s="18"/>
      <c r="E4" s="18"/>
      <c r="F4" s="18"/>
      <c r="G4" s="18"/>
    </row>
    <row r="5" spans="1:7" x14ac:dyDescent="0.25">
      <c r="A5" s="16" t="s">
        <v>629</v>
      </c>
      <c r="B5" s="19">
        <v>1</v>
      </c>
      <c r="C5" s="18" t="s">
        <v>630</v>
      </c>
      <c r="D5" s="18"/>
      <c r="E5" s="18"/>
      <c r="F5" s="18"/>
      <c r="G5" s="18"/>
    </row>
    <row r="6" spans="1:7" x14ac:dyDescent="0.25">
      <c r="A6" s="16" t="s">
        <v>631</v>
      </c>
      <c r="B6" s="17">
        <v>0.5</v>
      </c>
      <c r="C6" s="18" t="s">
        <v>632</v>
      </c>
      <c r="D6" s="18"/>
      <c r="E6" s="18"/>
      <c r="F6" s="18"/>
      <c r="G6" s="18"/>
    </row>
    <row r="7" spans="1:7" x14ac:dyDescent="0.25">
      <c r="A7" s="16" t="s">
        <v>633</v>
      </c>
      <c r="B7" s="20">
        <v>1</v>
      </c>
      <c r="C7" s="18" t="s">
        <v>634</v>
      </c>
      <c r="D7" s="18"/>
      <c r="E7" s="18"/>
      <c r="F7" s="18"/>
      <c r="G7" s="18"/>
    </row>
    <row r="8" spans="1:7" x14ac:dyDescent="0.25">
      <c r="A8" s="16" t="s">
        <v>635</v>
      </c>
      <c r="B8" s="20">
        <v>1</v>
      </c>
      <c r="C8" s="18" t="s">
        <v>230</v>
      </c>
      <c r="D8" s="18"/>
      <c r="E8" s="18"/>
      <c r="F8" s="18"/>
      <c r="G8" s="18"/>
    </row>
    <row r="9" spans="1:7" x14ac:dyDescent="0.25">
      <c r="A9" s="16" t="s">
        <v>636</v>
      </c>
      <c r="B9" s="20">
        <v>1</v>
      </c>
      <c r="C9" s="18" t="s">
        <v>230</v>
      </c>
      <c r="D9" s="18"/>
      <c r="E9" s="18"/>
      <c r="F9" s="18"/>
      <c r="G9" s="18"/>
    </row>
    <row r="10" spans="1:7" x14ac:dyDescent="0.25">
      <c r="A10" s="16" t="s">
        <v>637</v>
      </c>
      <c r="B10" s="19">
        <v>3</v>
      </c>
      <c r="C10" s="18" t="s">
        <v>638</v>
      </c>
      <c r="D10" s="18"/>
      <c r="E10" s="18"/>
      <c r="F10" s="18"/>
      <c r="G10" s="18"/>
    </row>
    <row r="11" spans="1:7" x14ac:dyDescent="0.25">
      <c r="A11" s="16" t="s">
        <v>639</v>
      </c>
      <c r="B11" s="21" t="s">
        <v>640</v>
      </c>
      <c r="C11" s="18" t="s">
        <v>641</v>
      </c>
      <c r="D11" s="18"/>
      <c r="E11" s="18"/>
      <c r="F11" s="18"/>
      <c r="G11" s="18"/>
    </row>
    <row r="13" ht="30" customHeight="1" spans="1:10" x14ac:dyDescent="0.25">
      <c r="A13" s="10" t="s">
        <v>339</v>
      </c>
      <c r="B13" s="10" t="s">
        <v>340</v>
      </c>
      <c r="C13" s="10" t="s">
        <v>341</v>
      </c>
      <c r="D13" s="10" t="s">
        <v>642</v>
      </c>
      <c r="E13" s="10" t="s">
        <v>643</v>
      </c>
      <c r="F13" s="10" t="s">
        <v>644</v>
      </c>
      <c r="G13" s="10" t="s">
        <v>645</v>
      </c>
      <c r="H13" s="10" t="s">
        <v>646</v>
      </c>
      <c r="I13" s="10" t="s">
        <v>647</v>
      </c>
      <c r="J13" s="10" t="s">
        <v>648</v>
      </c>
    </row>
    <row r="14" spans="1:10" x14ac:dyDescent="0.25">
      <c r="A14" s="22" t="s">
        <v>353</v>
      </c>
      <c r="B14" s="22" t="s">
        <v>354</v>
      </c>
      <c r="C14" s="22" t="s">
        <v>355</v>
      </c>
      <c r="D14" s="22" t="s">
        <v>356</v>
      </c>
      <c r="E14" s="22" t="s">
        <v>356</v>
      </c>
      <c r="F14" s="23">
        <v>1</v>
      </c>
      <c r="G14" s="23" t="s">
        <v>366</v>
      </c>
      <c r="H14" s="22">
        <f>IF($B11="Short",IF(E14="Y",1,0),1)</f>
        <v>1</v>
      </c>
      <c r="I14" s="22">
        <f>IF(H14=0,0,IF(G14="Y",0,F14))</f>
        <v>1</v>
      </c>
      <c r="J14" s="22">
        <f>IF(AND(D14="Y",H14=1,I14&lt;=$B5),1,0)</f>
        <v>1</v>
      </c>
    </row>
    <row r="15" spans="1:10" x14ac:dyDescent="0.25">
      <c r="A15" s="16" t="s">
        <v>365</v>
      </c>
      <c r="B15" s="16" t="s">
        <v>354</v>
      </c>
      <c r="C15" s="16" t="s">
        <v>355</v>
      </c>
      <c r="D15" s="16" t="s">
        <v>366</v>
      </c>
      <c r="E15" s="16" t="s">
        <v>356</v>
      </c>
      <c r="F15" s="24">
        <v>1</v>
      </c>
      <c r="G15" s="24" t="s">
        <v>366</v>
      </c>
      <c r="H15" s="16">
        <f>IF($B11="Short",IF(E15="Y",1,0),1)</f>
        <v>1</v>
      </c>
      <c r="I15" s="16">
        <f>IF(H15=0,0,IF(G15="Y",0,F15))</f>
        <v>1</v>
      </c>
      <c r="J15" s="16">
        <f>IF(AND(D15="Y",H15=1,I15&lt;=$B5),1,0)</f>
        <v>0</v>
      </c>
    </row>
    <row r="16" spans="1:10" x14ac:dyDescent="0.25">
      <c r="A16" s="22" t="s">
        <v>374</v>
      </c>
      <c r="B16" s="22" t="s">
        <v>354</v>
      </c>
      <c r="C16" s="22" t="s">
        <v>355</v>
      </c>
      <c r="D16" s="22" t="s">
        <v>366</v>
      </c>
      <c r="E16" s="22" t="s">
        <v>366</v>
      </c>
      <c r="F16" s="23">
        <v>2</v>
      </c>
      <c r="G16" s="23" t="s">
        <v>366</v>
      </c>
      <c r="H16" s="22">
        <f>IF($B11="Short",IF(E16="Y",1,0),1)</f>
        <v>1</v>
      </c>
      <c r="I16" s="22">
        <f>IF(H16=0,0,IF(G16="Y",0,F16))</f>
        <v>2</v>
      </c>
      <c r="J16" s="22">
        <f>IF(AND(D16="Y",H16=1,I16&lt;=$B5),1,0)</f>
        <v>0</v>
      </c>
    </row>
    <row r="17" spans="1:10" x14ac:dyDescent="0.25">
      <c r="A17" s="16" t="s">
        <v>382</v>
      </c>
      <c r="B17" s="16" t="s">
        <v>354</v>
      </c>
      <c r="C17" s="16" t="s">
        <v>383</v>
      </c>
      <c r="D17" s="16" t="s">
        <v>356</v>
      </c>
      <c r="E17" s="16" t="s">
        <v>356</v>
      </c>
      <c r="F17" s="24">
        <v>1</v>
      </c>
      <c r="G17" s="24" t="s">
        <v>366</v>
      </c>
      <c r="H17" s="16">
        <f>IF($B11="Short",IF(E17="Y",1,0),1)</f>
        <v>1</v>
      </c>
      <c r="I17" s="16">
        <f>IF(H17=0,0,IF(G17="Y",0,F17))</f>
        <v>1</v>
      </c>
      <c r="J17" s="16">
        <f>IF(AND(D17="Y",H17=1,I17&lt;=$B5),1,0)</f>
        <v>1</v>
      </c>
    </row>
    <row r="18" spans="1:10" x14ac:dyDescent="0.25">
      <c r="A18" s="22" t="s">
        <v>391</v>
      </c>
      <c r="B18" s="22" t="s">
        <v>354</v>
      </c>
      <c r="C18" s="22" t="s">
        <v>383</v>
      </c>
      <c r="D18" s="22" t="s">
        <v>366</v>
      </c>
      <c r="E18" s="22" t="s">
        <v>356</v>
      </c>
      <c r="F18" s="23">
        <v>1</v>
      </c>
      <c r="G18" s="23" t="s">
        <v>366</v>
      </c>
      <c r="H18" s="22">
        <f>IF($B11="Short",IF(E18="Y",1,0),1)</f>
        <v>1</v>
      </c>
      <c r="I18" s="22">
        <f>IF(H18=0,0,IF(G18="Y",0,F18))</f>
        <v>1</v>
      </c>
      <c r="J18" s="22">
        <f>IF(AND(D18="Y",H18=1,I18&lt;=$B5),1,0)</f>
        <v>0</v>
      </c>
    </row>
    <row r="19" spans="1:10" x14ac:dyDescent="0.25">
      <c r="A19" s="16" t="s">
        <v>399</v>
      </c>
      <c r="B19" s="16" t="s">
        <v>354</v>
      </c>
      <c r="C19" s="16" t="s">
        <v>383</v>
      </c>
      <c r="D19" s="16" t="s">
        <v>366</v>
      </c>
      <c r="E19" s="16" t="s">
        <v>366</v>
      </c>
      <c r="F19" s="24">
        <v>1</v>
      </c>
      <c r="G19" s="24" t="s">
        <v>356</v>
      </c>
      <c r="H19" s="16">
        <f>IF($B11="Short",IF(E19="Y",1,0),1)</f>
        <v>1</v>
      </c>
      <c r="I19" s="16">
        <f>IF(H19=0,0,IF(G19="Y",0,F19))</f>
        <v>0</v>
      </c>
      <c r="J19" s="16">
        <f>IF(AND(D19="Y",H19=1,I19&lt;=$B5),1,0)</f>
        <v>0</v>
      </c>
    </row>
    <row r="20" spans="1:10" x14ac:dyDescent="0.25">
      <c r="A20" s="22" t="s">
        <v>408</v>
      </c>
      <c r="B20" s="22" t="s">
        <v>409</v>
      </c>
      <c r="C20" s="22" t="s">
        <v>410</v>
      </c>
      <c r="D20" s="22" t="s">
        <v>366</v>
      </c>
      <c r="E20" s="22" t="s">
        <v>356</v>
      </c>
      <c r="F20" s="23">
        <v>3</v>
      </c>
      <c r="G20" s="23" t="s">
        <v>366</v>
      </c>
      <c r="H20" s="22">
        <f>IF($B11="Short",IF(E20="Y",1,0),1)</f>
        <v>1</v>
      </c>
      <c r="I20" s="22">
        <f>IF(H20=0,0,IF(G20="Y",0,F20))</f>
        <v>3</v>
      </c>
      <c r="J20" s="22">
        <f>IF(AND(D20="Y",H20=1,I20&lt;=$B5),1,0)</f>
        <v>0</v>
      </c>
    </row>
    <row r="21" spans="1:10" x14ac:dyDescent="0.25">
      <c r="A21" s="16" t="s">
        <v>419</v>
      </c>
      <c r="B21" s="16" t="s">
        <v>409</v>
      </c>
      <c r="C21" s="16" t="s">
        <v>410</v>
      </c>
      <c r="D21" s="16" t="s">
        <v>356</v>
      </c>
      <c r="E21" s="16" t="s">
        <v>356</v>
      </c>
      <c r="F21" s="24">
        <v>2</v>
      </c>
      <c r="G21" s="24" t="s">
        <v>366</v>
      </c>
      <c r="H21" s="16">
        <f>IF($B11="Short",IF(E21="Y",1,0),1)</f>
        <v>1</v>
      </c>
      <c r="I21" s="16">
        <f>IF(H21=0,0,IF(G21="Y",0,F21))</f>
        <v>2</v>
      </c>
      <c r="J21" s="16">
        <f>IF(AND(D21="Y",H21=1,I21&lt;=$B5),1,0)</f>
        <v>0</v>
      </c>
    </row>
    <row r="22" spans="1:10" x14ac:dyDescent="0.25">
      <c r="A22" s="22" t="s">
        <v>427</v>
      </c>
      <c r="B22" s="22" t="s">
        <v>409</v>
      </c>
      <c r="C22" s="22" t="s">
        <v>410</v>
      </c>
      <c r="D22" s="22" t="s">
        <v>366</v>
      </c>
      <c r="E22" s="22" t="s">
        <v>366</v>
      </c>
      <c r="F22" s="23">
        <v>2</v>
      </c>
      <c r="G22" s="23" t="s">
        <v>366</v>
      </c>
      <c r="H22" s="22">
        <f>IF($B11="Short",IF(E22="Y",1,0),1)</f>
        <v>1</v>
      </c>
      <c r="I22" s="22">
        <f>IF(H22=0,0,IF(G22="Y",0,F22))</f>
        <v>2</v>
      </c>
      <c r="J22" s="22">
        <f>IF(AND(D22="Y",H22=1,I22&lt;=$B5),1,0)</f>
        <v>0</v>
      </c>
    </row>
    <row r="23" spans="1:10" x14ac:dyDescent="0.25">
      <c r="A23" s="16" t="s">
        <v>435</v>
      </c>
      <c r="B23" s="16" t="s">
        <v>409</v>
      </c>
      <c r="C23" s="16" t="s">
        <v>436</v>
      </c>
      <c r="D23" s="16" t="s">
        <v>356</v>
      </c>
      <c r="E23" s="16" t="s">
        <v>356</v>
      </c>
      <c r="F23" s="24">
        <v>2</v>
      </c>
      <c r="G23" s="24" t="s">
        <v>366</v>
      </c>
      <c r="H23" s="16">
        <f>IF($B11="Short",IF(E23="Y",1,0),1)</f>
        <v>1</v>
      </c>
      <c r="I23" s="16">
        <f>IF(H23=0,0,IF(G23="Y",0,F23))</f>
        <v>2</v>
      </c>
      <c r="J23" s="16">
        <f>IF(AND(D23="Y",H23=1,I23&lt;=$B5),1,0)</f>
        <v>0</v>
      </c>
    </row>
    <row r="24" spans="1:10" x14ac:dyDescent="0.25">
      <c r="A24" s="22" t="s">
        <v>444</v>
      </c>
      <c r="B24" s="22" t="s">
        <v>409</v>
      </c>
      <c r="C24" s="22" t="s">
        <v>436</v>
      </c>
      <c r="D24" s="22" t="s">
        <v>366</v>
      </c>
      <c r="E24" s="22" t="s">
        <v>356</v>
      </c>
      <c r="F24" s="23">
        <v>2</v>
      </c>
      <c r="G24" s="23" t="s">
        <v>366</v>
      </c>
      <c r="H24" s="22">
        <f>IF($B11="Short",IF(E24="Y",1,0),1)</f>
        <v>1</v>
      </c>
      <c r="I24" s="22">
        <f>IF(H24=0,0,IF(G24="Y",0,F24))</f>
        <v>2</v>
      </c>
      <c r="J24" s="22">
        <f>IF(AND(D24="Y",H24=1,I24&lt;=$B5),1,0)</f>
        <v>0</v>
      </c>
    </row>
    <row r="25" spans="1:10" x14ac:dyDescent="0.25">
      <c r="A25" s="16" t="s">
        <v>452</v>
      </c>
      <c r="B25" s="16" t="s">
        <v>409</v>
      </c>
      <c r="C25" s="16" t="s">
        <v>436</v>
      </c>
      <c r="D25" s="16" t="s">
        <v>366</v>
      </c>
      <c r="E25" s="16" t="s">
        <v>366</v>
      </c>
      <c r="F25" s="24">
        <v>2</v>
      </c>
      <c r="G25" s="24" t="s">
        <v>366</v>
      </c>
      <c r="H25" s="16">
        <f>IF($B11="Short",IF(E25="Y",1,0),1)</f>
        <v>1</v>
      </c>
      <c r="I25" s="16">
        <f>IF(H25=0,0,IF(G25="Y",0,F25))</f>
        <v>2</v>
      </c>
      <c r="J25" s="16">
        <f>IF(AND(D25="Y",H25=1,I25&lt;=$B5),1,0)</f>
        <v>0</v>
      </c>
    </row>
    <row r="26" spans="1:10" x14ac:dyDescent="0.25">
      <c r="A26" s="22" t="s">
        <v>459</v>
      </c>
      <c r="B26" s="22" t="s">
        <v>460</v>
      </c>
      <c r="C26" s="22" t="s">
        <v>461</v>
      </c>
      <c r="D26" s="22" t="s">
        <v>356</v>
      </c>
      <c r="E26" s="22" t="s">
        <v>356</v>
      </c>
      <c r="F26" s="23">
        <v>1</v>
      </c>
      <c r="G26" s="23" t="s">
        <v>366</v>
      </c>
      <c r="H26" s="22">
        <f>IF($B11="Short",IF(E26="Y",1,0),1)</f>
        <v>1</v>
      </c>
      <c r="I26" s="22">
        <f>IF(H26=0,0,IF(G26="Y",0,F26))</f>
        <v>1</v>
      </c>
      <c r="J26" s="22">
        <f>IF(AND(D26="Y",H26=1,I26&lt;=$B5),1,0)</f>
        <v>1</v>
      </c>
    </row>
    <row r="27" spans="1:10" x14ac:dyDescent="0.25">
      <c r="A27" s="16" t="s">
        <v>469</v>
      </c>
      <c r="B27" s="16" t="s">
        <v>460</v>
      </c>
      <c r="C27" s="16" t="s">
        <v>461</v>
      </c>
      <c r="D27" s="16" t="s">
        <v>366</v>
      </c>
      <c r="E27" s="16" t="s">
        <v>356</v>
      </c>
      <c r="F27" s="24">
        <v>1</v>
      </c>
      <c r="G27" s="24" t="s">
        <v>366</v>
      </c>
      <c r="H27" s="16">
        <f>IF($B11="Short",IF(E27="Y",1,0),1)</f>
        <v>1</v>
      </c>
      <c r="I27" s="16">
        <f>IF(H27=0,0,IF(G27="Y",0,F27))</f>
        <v>1</v>
      </c>
      <c r="J27" s="16">
        <f>IF(AND(D27="Y",H27=1,I27&lt;=$B5),1,0)</f>
        <v>0</v>
      </c>
    </row>
    <row r="28" spans="1:10" x14ac:dyDescent="0.25">
      <c r="A28" s="22" t="s">
        <v>478</v>
      </c>
      <c r="B28" s="22" t="s">
        <v>460</v>
      </c>
      <c r="C28" s="22" t="s">
        <v>461</v>
      </c>
      <c r="D28" s="22" t="s">
        <v>366</v>
      </c>
      <c r="E28" s="22" t="s">
        <v>366</v>
      </c>
      <c r="F28" s="23">
        <v>1</v>
      </c>
      <c r="G28" s="23" t="s">
        <v>366</v>
      </c>
      <c r="H28" s="22">
        <f>IF($B11="Short",IF(E28="Y",1,0),1)</f>
        <v>1</v>
      </c>
      <c r="I28" s="22">
        <f>IF(H28=0,0,IF(G28="Y",0,F28))</f>
        <v>1</v>
      </c>
      <c r="J28" s="22">
        <f>IF(AND(D28="Y",H28=1,I28&lt;=$B5),1,0)</f>
        <v>0</v>
      </c>
    </row>
    <row r="29" spans="1:10" x14ac:dyDescent="0.25">
      <c r="A29" s="16" t="s">
        <v>486</v>
      </c>
      <c r="B29" s="16" t="s">
        <v>460</v>
      </c>
      <c r="C29" s="16" t="s">
        <v>487</v>
      </c>
      <c r="D29" s="16" t="s">
        <v>356</v>
      </c>
      <c r="E29" s="16" t="s">
        <v>356</v>
      </c>
      <c r="F29" s="24">
        <v>1</v>
      </c>
      <c r="G29" s="24" t="s">
        <v>366</v>
      </c>
      <c r="H29" s="16">
        <f>IF($B11="Short",IF(E29="Y",1,0),1)</f>
        <v>1</v>
      </c>
      <c r="I29" s="16">
        <f>IF(H29=0,0,IF(G29="Y",0,F29))</f>
        <v>1</v>
      </c>
      <c r="J29" s="16">
        <f>IF(AND(D29="Y",H29=1,I29&lt;=$B5),1,0)</f>
        <v>1</v>
      </c>
    </row>
    <row r="30" spans="1:10" x14ac:dyDescent="0.25">
      <c r="A30" s="22" t="s">
        <v>495</v>
      </c>
      <c r="B30" s="22" t="s">
        <v>460</v>
      </c>
      <c r="C30" s="22" t="s">
        <v>487</v>
      </c>
      <c r="D30" s="22" t="s">
        <v>366</v>
      </c>
      <c r="E30" s="22" t="s">
        <v>356</v>
      </c>
      <c r="F30" s="23">
        <v>1</v>
      </c>
      <c r="G30" s="23" t="s">
        <v>366</v>
      </c>
      <c r="H30" s="22">
        <f>IF($B11="Short",IF(E30="Y",1,0),1)</f>
        <v>1</v>
      </c>
      <c r="I30" s="22">
        <f>IF(H30=0,0,IF(G30="Y",0,F30))</f>
        <v>1</v>
      </c>
      <c r="J30" s="22">
        <f>IF(AND(D30="Y",H30=1,I30&lt;=$B5),1,0)</f>
        <v>0</v>
      </c>
    </row>
    <row r="31" spans="1:10" x14ac:dyDescent="0.25">
      <c r="A31" s="16" t="s">
        <v>504</v>
      </c>
      <c r="B31" s="16" t="s">
        <v>460</v>
      </c>
      <c r="C31" s="16" t="s">
        <v>487</v>
      </c>
      <c r="D31" s="16" t="s">
        <v>366</v>
      </c>
      <c r="E31" s="16" t="s">
        <v>366</v>
      </c>
      <c r="F31" s="24">
        <v>2</v>
      </c>
      <c r="G31" s="24" t="s">
        <v>366</v>
      </c>
      <c r="H31" s="16">
        <f>IF($B11="Short",IF(E31="Y",1,0),1)</f>
        <v>1</v>
      </c>
      <c r="I31" s="16">
        <f>IF(H31=0,0,IF(G31="Y",0,F31))</f>
        <v>2</v>
      </c>
      <c r="J31" s="16">
        <f>IF(AND(D31="Y",H31=1,I31&lt;=$B5),1,0)</f>
        <v>0</v>
      </c>
    </row>
    <row r="33" spans="1:10" x14ac:dyDescent="0.25">
      <c r="A33" s="3" t="s">
        <v>649</v>
      </c>
      <c r="B33" s="3"/>
      <c r="C33" s="3"/>
      <c r="D33" s="3"/>
      <c r="E33" s="3"/>
      <c r="F33" s="3"/>
      <c r="G33" s="3"/>
      <c r="H33" s="3"/>
      <c r="I33" s="3"/>
      <c r="J33" s="3"/>
    </row>
    <row r="34" ht="30" customHeight="1" spans="1:10" x14ac:dyDescent="0.25">
      <c r="A34" s="10" t="s">
        <v>341</v>
      </c>
      <c r="B34" s="10" t="s">
        <v>340</v>
      </c>
      <c r="C34" s="10" t="s">
        <v>650</v>
      </c>
      <c r="D34" s="10" t="s">
        <v>651</v>
      </c>
      <c r="E34" s="10" t="s">
        <v>652</v>
      </c>
      <c r="F34" s="10" t="s">
        <v>653</v>
      </c>
      <c r="G34" s="10" t="s">
        <v>654</v>
      </c>
      <c r="H34" s="10" t="s">
        <v>655</v>
      </c>
      <c r="I34" s="10" t="s">
        <v>656</v>
      </c>
      <c r="J34" s="10" t="s">
        <v>230</v>
      </c>
    </row>
    <row r="35" spans="1:9" x14ac:dyDescent="0.25">
      <c r="A35" s="16" t="s">
        <v>383</v>
      </c>
      <c r="B35" s="16" t="s">
        <v>354</v>
      </c>
      <c r="C35" s="24">
        <v>1</v>
      </c>
      <c r="D35" s="16">
        <f>SUMIFS($I$14:$I$31,$C$14:$C$31,A35)</f>
        <v>2</v>
      </c>
      <c r="E35" s="16">
        <f>SUMIFS($H$14:$H$31,$C$14:$C$31,A35)*$B10</f>
        <v>9</v>
      </c>
      <c r="F35" s="25">
        <f>IF(E35=0,0,D35/E35)</f>
        <v>0.2222222222222222</v>
      </c>
      <c r="G35" s="16">
        <f>SUMIFS($J$14:$J$31,$C$14:$C$31,A35)</f>
        <v>1</v>
      </c>
      <c r="H35" s="26">
        <f>F35-G35</f>
        <v>-0.7777777777777778</v>
      </c>
      <c r="I35" s="25">
        <f>C35*F35</f>
        <v>0.2222222222222222</v>
      </c>
    </row>
    <row r="36" spans="1:9" x14ac:dyDescent="0.25">
      <c r="A36" s="16" t="s">
        <v>355</v>
      </c>
      <c r="B36" s="16" t="s">
        <v>354</v>
      </c>
      <c r="C36" s="24">
        <v>1</v>
      </c>
      <c r="D36" s="16">
        <f>SUMIFS($I$14:$I$31,$C$14:$C$31,A36)</f>
        <v>4</v>
      </c>
      <c r="E36" s="16">
        <f>SUMIFS($H$14:$H$31,$C$14:$C$31,A36)*$B10</f>
        <v>9</v>
      </c>
      <c r="F36" s="25">
        <f>IF(E36=0,0,D36/E36)</f>
        <v>0.4444444444444444</v>
      </c>
      <c r="G36" s="16">
        <f>SUMIFS($J$14:$J$31,$C$14:$C$31,A36)</f>
        <v>1</v>
      </c>
      <c r="H36" s="26">
        <f>F36-G36</f>
        <v>-0.5555555555555556</v>
      </c>
      <c r="I36" s="25">
        <f>C36*F36</f>
        <v>0.4444444444444444</v>
      </c>
    </row>
    <row r="37" spans="1:9" x14ac:dyDescent="0.25">
      <c r="A37" s="16" t="s">
        <v>410</v>
      </c>
      <c r="B37" s="16" t="s">
        <v>409</v>
      </c>
      <c r="C37" s="24">
        <v>1</v>
      </c>
      <c r="D37" s="16">
        <f>SUMIFS($I$14:$I$31,$C$14:$C$31,A37)</f>
        <v>7</v>
      </c>
      <c r="E37" s="16">
        <f>SUMIFS($H$14:$H$31,$C$14:$C$31,A37)*$B10</f>
        <v>9</v>
      </c>
      <c r="F37" s="25">
        <f>IF(E37=0,0,D37/E37)</f>
        <v>0.7777777777777778</v>
      </c>
      <c r="G37" s="16">
        <f>SUMIFS($J$14:$J$31,$C$14:$C$31,A37)</f>
        <v>0</v>
      </c>
      <c r="H37" s="26">
        <f>F37-G37</f>
        <v>0.7777777777777778</v>
      </c>
      <c r="I37" s="25">
        <f>C37*F37</f>
        <v>0.7777777777777778</v>
      </c>
    </row>
    <row r="38" spans="1:9" x14ac:dyDescent="0.25">
      <c r="A38" s="16" t="s">
        <v>436</v>
      </c>
      <c r="B38" s="16" t="s">
        <v>409</v>
      </c>
      <c r="C38" s="24">
        <v>1</v>
      </c>
      <c r="D38" s="16">
        <f>SUMIFS($I$14:$I$31,$C$14:$C$31,A38)</f>
        <v>6</v>
      </c>
      <c r="E38" s="16">
        <f>SUMIFS($H$14:$H$31,$C$14:$C$31,A38)*$B10</f>
        <v>9</v>
      </c>
      <c r="F38" s="25">
        <f>IF(E38=0,0,D38/E38)</f>
        <v>0.6666666666666666</v>
      </c>
      <c r="G38" s="16">
        <f>SUMIFS($J$14:$J$31,$C$14:$C$31,A38)</f>
        <v>0</v>
      </c>
      <c r="H38" s="26">
        <f>F38-G38</f>
        <v>0.6666666666666666</v>
      </c>
      <c r="I38" s="25">
        <f>C38*F38</f>
        <v>0.6666666666666666</v>
      </c>
    </row>
    <row r="39" spans="1:9" x14ac:dyDescent="0.25">
      <c r="A39" s="16" t="s">
        <v>461</v>
      </c>
      <c r="B39" s="16" t="s">
        <v>460</v>
      </c>
      <c r="C39" s="24">
        <v>1</v>
      </c>
      <c r="D39" s="16">
        <f>SUMIFS($I$14:$I$31,$C$14:$C$31,A39)</f>
        <v>3</v>
      </c>
      <c r="E39" s="16">
        <f>SUMIFS($H$14:$H$31,$C$14:$C$31,A39)*$B10</f>
        <v>9</v>
      </c>
      <c r="F39" s="25">
        <f>IF(E39=0,0,D39/E39)</f>
        <v>0.3333333333333333</v>
      </c>
      <c r="G39" s="16">
        <f>SUMIFS($J$14:$J$31,$C$14:$C$31,A39)</f>
        <v>1</v>
      </c>
      <c r="H39" s="26">
        <f>F39-G39</f>
        <v>-0.6666666666666667</v>
      </c>
      <c r="I39" s="25">
        <f>C39*F39</f>
        <v>0.3333333333333333</v>
      </c>
    </row>
    <row r="40" spans="1:9" x14ac:dyDescent="0.25">
      <c r="A40" s="16" t="s">
        <v>487</v>
      </c>
      <c r="B40" s="16" t="s">
        <v>460</v>
      </c>
      <c r="C40" s="24">
        <v>1</v>
      </c>
      <c r="D40" s="16">
        <f>SUMIFS($I$14:$I$31,$C$14:$C$31,A40)</f>
        <v>4</v>
      </c>
      <c r="E40" s="16">
        <f>SUMIFS($H$14:$H$31,$C$14:$C$31,A40)*$B10</f>
        <v>9</v>
      </c>
      <c r="F40" s="25">
        <f>IF(E40=0,0,D40/E40)</f>
        <v>0.4444444444444444</v>
      </c>
      <c r="G40" s="16">
        <f>SUMIFS($J$14:$J$31,$C$14:$C$31,A40)</f>
        <v>1</v>
      </c>
      <c r="H40" s="26">
        <f>F40-G40</f>
        <v>-0.5555555555555556</v>
      </c>
      <c r="I40" s="25">
        <f>C40*F40</f>
        <v>0.4444444444444444</v>
      </c>
    </row>
    <row r="41" ht="30" customHeight="1" spans="1:10" x14ac:dyDescent="0.25">
      <c r="A41" s="2" t="s">
        <v>657</v>
      </c>
      <c r="B41" s="2"/>
      <c r="C41" s="2"/>
      <c r="D41" s="2"/>
      <c r="E41" s="2"/>
      <c r="F41" s="2"/>
      <c r="G41" s="2"/>
      <c r="H41" s="2"/>
      <c r="I41" s="2"/>
      <c r="J41" s="2"/>
    </row>
    <row r="43" spans="1:10" x14ac:dyDescent="0.25">
      <c r="A43" s="3" t="s">
        <v>658</v>
      </c>
      <c r="B43" s="3"/>
      <c r="C43" s="3"/>
      <c r="D43" s="3"/>
      <c r="E43" s="3"/>
      <c r="F43" s="3"/>
      <c r="G43" s="3"/>
      <c r="H43" s="3"/>
      <c r="I43" s="3"/>
      <c r="J43" s="3"/>
    </row>
    <row r="44" spans="1:10" x14ac:dyDescent="0.25">
      <c r="A44" s="27" t="s">
        <v>659</v>
      </c>
      <c r="B44" s="28">
        <f>SUMIFS($I$35:$I$40,$B$35:$B$40,"Data")/SUMIFS($C$35:$C$40,$B$35:$B$40,"Data")</f>
        <v>0.3333333333333333</v>
      </c>
      <c r="C44" s="28"/>
      <c r="D44" s="28"/>
      <c r="E44" s="28"/>
      <c r="F44" s="28"/>
      <c r="G44" s="28"/>
      <c r="H44" s="28"/>
      <c r="I44" s="28"/>
      <c r="J44" s="28"/>
    </row>
    <row r="45" spans="1:10" x14ac:dyDescent="0.25">
      <c r="A45" s="27" t="s">
        <v>660</v>
      </c>
      <c r="B45" s="28">
        <f>SUMIFS($I$35:$I$40,$B$35:$B$40,"AI")/SUMIFS($C$35:$C$40,$B$35:$B$40,"AI")</f>
        <v>0.7222222222222222</v>
      </c>
      <c r="C45" s="28"/>
      <c r="D45" s="28"/>
      <c r="E45" s="28"/>
      <c r="F45" s="28"/>
      <c r="G45" s="28"/>
      <c r="H45" s="28"/>
      <c r="I45" s="28"/>
      <c r="J45" s="28"/>
    </row>
    <row r="46" spans="1:10" x14ac:dyDescent="0.25">
      <c r="A46" s="27" t="s">
        <v>661</v>
      </c>
      <c r="B46" s="28">
        <f>SUMIFS($I$35:$I$40,$B$35:$B$40,"Safe")/SUMIFS($C$35:$C$40,$B$35:$B$40,"Safe")</f>
        <v>0.38888888888888884</v>
      </c>
      <c r="C46" s="28"/>
      <c r="D46" s="28"/>
      <c r="E46" s="28"/>
      <c r="F46" s="28"/>
      <c r="G46" s="28"/>
      <c r="H46" s="28"/>
      <c r="I46" s="28"/>
      <c r="J46" s="28"/>
    </row>
    <row r="47" spans="1:10" x14ac:dyDescent="0.25">
      <c r="A47" s="27" t="s">
        <v>662</v>
      </c>
      <c r="B47" s="28">
        <f>(B44*$B7+B45*$B8+B46*$B9)/($B7+$B8+$B9)</f>
        <v>0.48148148148148145</v>
      </c>
      <c r="C47" s="28"/>
      <c r="D47" s="28"/>
      <c r="E47" s="28"/>
      <c r="F47" s="28"/>
      <c r="G47" s="28"/>
      <c r="H47" s="28"/>
      <c r="I47" s="28"/>
      <c r="J47" s="28"/>
    </row>
    <row r="48" spans="1:10" x14ac:dyDescent="0.25">
      <c r="A48" s="27" t="s">
        <v>663</v>
      </c>
      <c r="B48" s="29" t="str">
        <f>IF(AND(B44&gt;=$B4,B45&gt;=$B4),"Ready to Scale",IF(B44&gt;=$B4,"Data Ready, AI Not Started",IF(B45&gt;=$B4,"AI Ahead of the Data","Starting Out")))</f>
        <v>AI Ahead of the Data</v>
      </c>
      <c r="C48" s="29"/>
      <c r="D48" s="29"/>
      <c r="E48" s="29"/>
      <c r="F48" s="29"/>
      <c r="G48" s="29"/>
      <c r="H48" s="29"/>
      <c r="I48" s="29"/>
      <c r="J48" s="29"/>
    </row>
    <row r="49" spans="1:10" x14ac:dyDescent="0.25">
      <c r="A49" s="27" t="s">
        <v>664</v>
      </c>
      <c r="B49" s="30" t="str">
        <f>IF(B46&gt;=$B6,"Guardrails in place","Guardrails behind")</f>
        <v>Guardrails behind</v>
      </c>
      <c r="C49" s="30"/>
      <c r="D49" s="30"/>
      <c r="E49" s="30"/>
      <c r="F49" s="30"/>
      <c r="G49" s="30"/>
      <c r="H49" s="30"/>
      <c r="I49" s="30"/>
      <c r="J49" s="30"/>
    </row>
    <row r="50" spans="1:10" x14ac:dyDescent="0.25">
      <c r="A50" s="27" t="s">
        <v>665</v>
      </c>
      <c r="B50" s="31">
        <f>SUM($J$14:$J$31)</f>
        <v>4</v>
      </c>
      <c r="C50" s="31"/>
      <c r="D50" s="31"/>
      <c r="E50" s="31"/>
      <c r="F50" s="31"/>
      <c r="G50" s="31"/>
      <c r="H50" s="31"/>
      <c r="I50" s="31"/>
      <c r="J50" s="31"/>
    </row>
    <row r="51" spans="1:10" x14ac:dyDescent="0.25">
      <c r="A51" s="27" t="s">
        <v>666</v>
      </c>
      <c r="B51" s="31">
        <f>COUNTIFS($G$14:$G$31,"Y",$H$14:$H$31,1)</f>
        <v>1</v>
      </c>
      <c r="C51" s="31"/>
      <c r="D51" s="31"/>
      <c r="E51" s="31"/>
      <c r="F51" s="31"/>
      <c r="G51" s="31"/>
      <c r="H51" s="31"/>
      <c r="I51" s="31"/>
      <c r="J51" s="31"/>
    </row>
    <row r="52" spans="1:10" x14ac:dyDescent="0.25">
      <c r="A52" s="27" t="s">
        <v>667</v>
      </c>
      <c r="B52" s="30" t="str">
        <f>INDEX($A$35:$A$40,MATCH(MIN($H$35:$H$40),$H$35:$H$40,0))</f>
        <v>Data Trust &amp; Meaning</v>
      </c>
      <c r="C52" s="30"/>
      <c r="D52" s="30"/>
      <c r="E52" s="30"/>
      <c r="F52" s="30"/>
      <c r="G52" s="30"/>
      <c r="H52" s="30"/>
      <c r="I52" s="30"/>
      <c r="J52" s="30"/>
    </row>
    <row r="53" spans="1:10" x14ac:dyDescent="0.25">
      <c r="A53" s="27" t="s">
        <v>668</v>
      </c>
      <c r="B53" s="32" t="str">
        <f>INDEX('Service Routing'!$C$5:$C$10,MATCH(B52,'Service Routing'!$A$5:$A$10,0))</f>
        <v>xloopdigital.com/services/data-analytics</v>
      </c>
      <c r="C53" s="32"/>
      <c r="D53" s="32"/>
      <c r="E53" s="32"/>
      <c r="F53" s="32"/>
      <c r="G53" s="32"/>
      <c r="H53" s="32"/>
      <c r="I53" s="32"/>
      <c r="J53" s="32"/>
    </row>
    <row r="54" spans="1:10" x14ac:dyDescent="0.25">
      <c r="A54" s="27" t="s">
        <v>669</v>
      </c>
      <c r="B54" s="32" t="str">
        <f>IF(B50&gt;0,INDEX('Service Routing'!$E$5:$E$10,MATCH(B52,'Service Routing'!$A$5:$A$10,0)),INDEX('Result Profiles'!$F$5:$F$8,MATCH(B48,'Result Profiles'!$A$5:$A$8,0)))</f>
        <v>Book a 30-minute Data &amp; AI Readiness Review</v>
      </c>
      <c r="C54" s="32"/>
      <c r="D54" s="32"/>
      <c r="E54" s="32"/>
      <c r="F54" s="32"/>
      <c r="G54" s="32"/>
      <c r="H54" s="32"/>
      <c r="I54" s="32"/>
      <c r="J54" s="32"/>
    </row>
    <row r="55" spans="1:10" x14ac:dyDescent="0.25">
      <c r="A55" s="27" t="s">
        <v>670</v>
      </c>
      <c r="B55" s="32" t="str">
        <f>INDEX('Result Profiles'!$C$5:$C$8,MATCH(B48,'Result Profiles'!$A$5:$A$8,0))</f>
        <v>You are ready to build on data that is not ready yet.</v>
      </c>
      <c r="C55" s="32"/>
      <c r="D55" s="32"/>
      <c r="E55" s="32"/>
      <c r="F55" s="32"/>
      <c r="G55" s="32"/>
      <c r="H55" s="32"/>
      <c r="I55" s="32"/>
      <c r="J55" s="32"/>
    </row>
    <row r="56" spans="1:10" x14ac:dyDescent="0.25">
      <c r="A56" s="27" t="s">
        <v>671</v>
      </c>
      <c r="B56" s="30" t="str">
        <f>IF(B50=0,"No blockers flagged.",B50&amp;IF(B50=1," thing is"," things are")&amp;" likely to stall this before it reaches production.")</f>
        <v>4 things are likely to stall this before it reaches production.</v>
      </c>
      <c r="C56" s="30"/>
      <c r="D56" s="30"/>
      <c r="E56" s="30"/>
      <c r="F56" s="30"/>
      <c r="G56" s="30"/>
      <c r="H56" s="30"/>
      <c r="I56" s="30"/>
      <c r="J56" s="30"/>
    </row>
    <row r="58" ht="46" customHeight="1" spans="1:10" x14ac:dyDescent="0.25">
      <c r="A58" s="2" t="s">
        <v>672</v>
      </c>
      <c r="B58" s="2"/>
      <c r="C58" s="2"/>
      <c r="D58" s="2"/>
      <c r="E58" s="2"/>
      <c r="F58" s="2"/>
      <c r="G58" s="2"/>
      <c r="H58" s="2"/>
      <c r="I58" s="2"/>
      <c r="J58" s="2"/>
    </row>
  </sheetData>
  <mergeCells count="28">
    <mergeCell ref="A1:J1"/>
    <mergeCell ref="A2:J2"/>
    <mergeCell ref="A3:J3"/>
    <mergeCell ref="C4:G4"/>
    <mergeCell ref="C5:G5"/>
    <mergeCell ref="C6:G6"/>
    <mergeCell ref="C7:G7"/>
    <mergeCell ref="C8:G8"/>
    <mergeCell ref="C9:G9"/>
    <mergeCell ref="C10:G10"/>
    <mergeCell ref="C11:G11"/>
    <mergeCell ref="A33:J33"/>
    <mergeCell ref="A41:J41"/>
    <mergeCell ref="A43:J43"/>
    <mergeCell ref="B44:J44"/>
    <mergeCell ref="B45:J45"/>
    <mergeCell ref="B46:J46"/>
    <mergeCell ref="B47:J47"/>
    <mergeCell ref="B48:J48"/>
    <mergeCell ref="B49:J49"/>
    <mergeCell ref="B50:J50"/>
    <mergeCell ref="B51:J51"/>
    <mergeCell ref="B52:J52"/>
    <mergeCell ref="B53:J53"/>
    <mergeCell ref="B54:J54"/>
    <mergeCell ref="B55:J55"/>
    <mergeCell ref="B56:J56"/>
    <mergeCell ref="A58:J58"/>
  </mergeCells>
  <dataValidations count="3">
    <dataValidation type="list" sqref="B11">
      <formula1>"Full,Short"</formula1>
    </dataValidation>
    <dataValidation type="whole" showErrorMessage="1" errorTitle="Score" error="Enter 0, 1, 2 or 3" sqref="F14:F31">
      <formula1>0</formula1>
      <formula2>3</formula2>
    </dataValidation>
    <dataValidation type="list" sqref="G14:G31">
      <formula1>"Y,N"</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showGridLines="0"/>
  </sheetViews>
  <sheetFormatPr defaultRowHeight="15" outlineLevelRow="0" outlineLevelCol="0" x14ac:dyDescent="55"/>
  <cols>
    <col min="1" max="1" width="26" customWidth="1"/>
    <col min="2" max="2" width="30" customWidth="1"/>
    <col min="3" max="3" width="42" customWidth="1"/>
    <col min="4" max="4" width="46" customWidth="1"/>
    <col min="5" max="5" width="42" customWidth="1"/>
    <col min="6" max="7" width="34" customWidth="1"/>
  </cols>
  <sheetData>
    <row r="1" spans="1:7" x14ac:dyDescent="0.25">
      <c r="A1" s="1" t="s">
        <v>673</v>
      </c>
      <c r="B1" s="1"/>
      <c r="C1" s="1"/>
      <c r="D1" s="1"/>
      <c r="E1" s="1"/>
      <c r="F1" s="1"/>
      <c r="G1" s="1"/>
    </row>
    <row r="2" ht="30" customHeight="1" spans="1:7" x14ac:dyDescent="0.25">
      <c r="A2" s="2" t="s">
        <v>674</v>
      </c>
      <c r="B2" s="2"/>
      <c r="C2" s="2"/>
      <c r="D2" s="2"/>
      <c r="E2" s="2"/>
      <c r="F2" s="2"/>
      <c r="G2" s="2"/>
    </row>
    <row r="4" ht="30" customHeight="1" spans="1:7" x14ac:dyDescent="0.25">
      <c r="A4" s="10" t="s">
        <v>675</v>
      </c>
      <c r="B4" s="10" t="s">
        <v>676</v>
      </c>
      <c r="C4" s="10" t="s">
        <v>670</v>
      </c>
      <c r="D4" s="10" t="s">
        <v>677</v>
      </c>
      <c r="E4" s="10" t="s">
        <v>678</v>
      </c>
      <c r="F4" s="10" t="s">
        <v>679</v>
      </c>
      <c r="G4" s="10" t="s">
        <v>680</v>
      </c>
    </row>
    <row r="5" ht="56" customHeight="1" spans="1:7" x14ac:dyDescent="0.25">
      <c r="A5" s="5" t="s">
        <v>681</v>
      </c>
      <c r="B5" s="5" t="s">
        <v>682</v>
      </c>
      <c r="C5" s="5" t="s">
        <v>683</v>
      </c>
      <c r="D5" s="5" t="s">
        <v>684</v>
      </c>
      <c r="E5" s="5" t="s">
        <v>685</v>
      </c>
      <c r="F5" s="5" t="s">
        <v>686</v>
      </c>
      <c r="G5" s="5" t="s">
        <v>557</v>
      </c>
    </row>
    <row r="6" ht="43" customHeight="1" spans="1:7" x14ac:dyDescent="0.25">
      <c r="A6" s="6" t="s">
        <v>687</v>
      </c>
      <c r="B6" s="6" t="s">
        <v>688</v>
      </c>
      <c r="C6" s="6" t="s">
        <v>689</v>
      </c>
      <c r="D6" s="6" t="s">
        <v>690</v>
      </c>
      <c r="E6" s="6" t="s">
        <v>691</v>
      </c>
      <c r="F6" s="6" t="s">
        <v>686</v>
      </c>
      <c r="G6" s="6" t="s">
        <v>557</v>
      </c>
    </row>
    <row r="7" ht="56" customHeight="1" spans="1:7" x14ac:dyDescent="0.25">
      <c r="A7" s="5" t="s">
        <v>692</v>
      </c>
      <c r="B7" s="5" t="s">
        <v>693</v>
      </c>
      <c r="C7" s="5" t="s">
        <v>694</v>
      </c>
      <c r="D7" s="5" t="s">
        <v>695</v>
      </c>
      <c r="E7" s="5" t="s">
        <v>696</v>
      </c>
      <c r="F7" s="5" t="s">
        <v>686</v>
      </c>
      <c r="G7" s="5" t="s">
        <v>530</v>
      </c>
    </row>
    <row r="8" ht="43" customHeight="1" spans="1:7" x14ac:dyDescent="0.25">
      <c r="A8" s="6" t="s">
        <v>697</v>
      </c>
      <c r="B8" s="6" t="s">
        <v>698</v>
      </c>
      <c r="C8" s="6" t="s">
        <v>699</v>
      </c>
      <c r="D8" s="6" t="s">
        <v>700</v>
      </c>
      <c r="E8" s="6" t="s">
        <v>701</v>
      </c>
      <c r="F8" s="6" t="s">
        <v>686</v>
      </c>
      <c r="G8" s="6" t="s">
        <v>702</v>
      </c>
    </row>
    <row r="10" spans="1:7" x14ac:dyDescent="0.25">
      <c r="A10" s="3" t="s">
        <v>703</v>
      </c>
      <c r="B10" s="3"/>
      <c r="C10" s="3"/>
      <c r="D10" s="3"/>
      <c r="E10" s="3"/>
      <c r="F10" s="3"/>
      <c r="G10" s="3"/>
    </row>
    <row r="11" ht="43" customHeight="1" spans="1:7" x14ac:dyDescent="0.25">
      <c r="A11" s="5" t="s">
        <v>704</v>
      </c>
      <c r="B11" s="5" t="s">
        <v>705</v>
      </c>
      <c r="C11" s="5" t="s">
        <v>706</v>
      </c>
      <c r="D11" s="5" t="s">
        <v>707</v>
      </c>
      <c r="E11" s="5" t="s">
        <v>708</v>
      </c>
      <c r="F11" s="5" t="s">
        <v>709</v>
      </c>
      <c r="G11" s="5" t="s">
        <v>710</v>
      </c>
    </row>
    <row r="12" ht="30" customHeight="1" spans="1:7" x14ac:dyDescent="0.25">
      <c r="A12" s="6" t="s">
        <v>665</v>
      </c>
      <c r="B12" s="6" t="s">
        <v>711</v>
      </c>
      <c r="C12" s="6" t="s">
        <v>712</v>
      </c>
      <c r="D12" s="6" t="s">
        <v>713</v>
      </c>
      <c r="E12" s="6" t="s">
        <v>714</v>
      </c>
      <c r="F12" s="6" t="s">
        <v>715</v>
      </c>
      <c r="G12" s="6" t="s">
        <v>716</v>
      </c>
    </row>
    <row r="13" ht="30" customHeight="1" spans="1:7" x14ac:dyDescent="0.25">
      <c r="A13" s="5" t="s">
        <v>717</v>
      </c>
      <c r="B13" s="5" t="s">
        <v>718</v>
      </c>
      <c r="C13" s="5" t="s">
        <v>719</v>
      </c>
      <c r="D13" s="5" t="s">
        <v>720</v>
      </c>
      <c r="E13" s="5" t="s">
        <v>721</v>
      </c>
      <c r="F13" s="5" t="s">
        <v>722</v>
      </c>
      <c r="G13" s="5" t="s">
        <v>284</v>
      </c>
    </row>
    <row r="14" ht="30" customHeight="1" spans="1:7" x14ac:dyDescent="0.25">
      <c r="A14" s="6" t="s">
        <v>723</v>
      </c>
      <c r="B14" s="6" t="s">
        <v>724</v>
      </c>
      <c r="C14" s="6" t="s">
        <v>725</v>
      </c>
      <c r="D14" s="6" t="s">
        <v>284</v>
      </c>
      <c r="E14" s="6" t="s">
        <v>726</v>
      </c>
      <c r="F14" s="6" t="s">
        <v>722</v>
      </c>
      <c r="G14" s="6" t="s">
        <v>284</v>
      </c>
    </row>
    <row r="16" spans="1:7" x14ac:dyDescent="0.25">
      <c r="A16" s="3" t="s">
        <v>727</v>
      </c>
      <c r="B16" s="3"/>
      <c r="C16" s="3"/>
      <c r="D16" s="3"/>
      <c r="E16" s="3"/>
      <c r="F16" s="3"/>
      <c r="G16" s="3"/>
    </row>
    <row r="17" ht="30" customHeight="1" spans="1:7" x14ac:dyDescent="0.25">
      <c r="A17" s="5" t="s">
        <v>728</v>
      </c>
      <c r="B17" s="5" t="s">
        <v>729</v>
      </c>
      <c r="C17" s="5" t="s">
        <v>730</v>
      </c>
      <c r="D17" s="5" t="s">
        <v>731</v>
      </c>
      <c r="E17" s="5" t="s">
        <v>732</v>
      </c>
      <c r="F17" s="5" t="s">
        <v>733</v>
      </c>
      <c r="G17" s="5" t="s">
        <v>734</v>
      </c>
    </row>
  </sheetData>
  <mergeCells count="4">
    <mergeCell ref="A1:G1"/>
    <mergeCell ref="A2:G2"/>
    <mergeCell ref="A10:G10"/>
    <mergeCell ref="A16:G16"/>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showGridLines="0"/>
  </sheetViews>
  <sheetFormatPr defaultRowHeight="15" outlineLevelRow="0" outlineLevelCol="0" x14ac:dyDescent="55"/>
  <cols>
    <col min="1" max="1" width="26" customWidth="1"/>
    <col min="2" max="2" width="8" customWidth="1"/>
    <col min="3" max="3" width="38" customWidth="1"/>
    <col min="4" max="4" width="40" customWidth="1"/>
    <col min="5" max="5" width="32" customWidth="1"/>
    <col min="6" max="6" width="30" customWidth="1"/>
    <col min="7" max="7" width="40" customWidth="1"/>
    <col min="8" max="8" width="44" customWidth="1"/>
    <col min="9" max="9" width="38" customWidth="1"/>
  </cols>
  <sheetData>
    <row r="1" spans="1:9" x14ac:dyDescent="0.25">
      <c r="A1" s="1" t="s">
        <v>735</v>
      </c>
      <c r="B1" s="1"/>
      <c r="C1" s="1"/>
      <c r="D1" s="1"/>
      <c r="E1" s="1"/>
      <c r="F1" s="1"/>
      <c r="G1" s="1"/>
      <c r="H1" s="1"/>
      <c r="I1" s="1"/>
    </row>
    <row r="2" ht="30" customHeight="1" spans="1:9" x14ac:dyDescent="0.25">
      <c r="A2" s="2" t="s">
        <v>736</v>
      </c>
      <c r="B2" s="2"/>
      <c r="C2" s="2"/>
      <c r="D2" s="2"/>
      <c r="E2" s="2"/>
      <c r="F2" s="2"/>
      <c r="G2" s="2"/>
      <c r="H2" s="2"/>
      <c r="I2" s="2"/>
    </row>
    <row r="4" ht="30" customHeight="1" spans="1:9" x14ac:dyDescent="0.25">
      <c r="A4" s="10" t="s">
        <v>341</v>
      </c>
      <c r="B4" s="10" t="s">
        <v>340</v>
      </c>
      <c r="C4" s="10" t="s">
        <v>668</v>
      </c>
      <c r="D4" s="10" t="s">
        <v>737</v>
      </c>
      <c r="E4" s="10" t="s">
        <v>738</v>
      </c>
      <c r="F4" s="10" t="s">
        <v>739</v>
      </c>
      <c r="G4" s="10" t="s">
        <v>740</v>
      </c>
      <c r="H4" s="10" t="s">
        <v>741</v>
      </c>
      <c r="I4" s="10" t="s">
        <v>742</v>
      </c>
    </row>
    <row r="5" ht="56" customHeight="1" spans="1:9" x14ac:dyDescent="0.25">
      <c r="A5" s="5" t="s">
        <v>383</v>
      </c>
      <c r="B5" s="5" t="s">
        <v>354</v>
      </c>
      <c r="C5" s="5" t="s">
        <v>530</v>
      </c>
      <c r="D5" s="5" t="s">
        <v>743</v>
      </c>
      <c r="E5" s="5" t="s">
        <v>686</v>
      </c>
      <c r="F5" s="5" t="s">
        <v>744</v>
      </c>
      <c r="G5" s="5" t="s">
        <v>745</v>
      </c>
      <c r="H5" s="5" t="s">
        <v>746</v>
      </c>
      <c r="I5" s="7" t="s">
        <v>747</v>
      </c>
    </row>
    <row r="6" ht="56" customHeight="1" spans="1:9" x14ac:dyDescent="0.25">
      <c r="A6" s="6" t="s">
        <v>355</v>
      </c>
      <c r="B6" s="6" t="s">
        <v>354</v>
      </c>
      <c r="C6" s="6" t="s">
        <v>530</v>
      </c>
      <c r="D6" s="6" t="s">
        <v>748</v>
      </c>
      <c r="E6" s="6" t="s">
        <v>686</v>
      </c>
      <c r="F6" s="6" t="s">
        <v>749</v>
      </c>
      <c r="G6" s="6" t="s">
        <v>750</v>
      </c>
      <c r="H6" s="6" t="s">
        <v>751</v>
      </c>
      <c r="I6" s="7" t="s">
        <v>752</v>
      </c>
    </row>
    <row r="7" ht="43" customHeight="1" spans="1:9" x14ac:dyDescent="0.25">
      <c r="A7" s="5" t="s">
        <v>410</v>
      </c>
      <c r="B7" s="5" t="s">
        <v>409</v>
      </c>
      <c r="C7" s="5" t="s">
        <v>557</v>
      </c>
      <c r="D7" s="5" t="s">
        <v>702</v>
      </c>
      <c r="E7" s="5" t="s">
        <v>686</v>
      </c>
      <c r="F7" s="5" t="s">
        <v>753</v>
      </c>
      <c r="G7" s="5" t="s">
        <v>754</v>
      </c>
      <c r="H7" s="5" t="s">
        <v>755</v>
      </c>
      <c r="I7" s="7" t="s">
        <v>756</v>
      </c>
    </row>
    <row r="8" ht="43" customHeight="1" spans="1:9" x14ac:dyDescent="0.25">
      <c r="A8" s="6" t="s">
        <v>436</v>
      </c>
      <c r="B8" s="6" t="s">
        <v>409</v>
      </c>
      <c r="C8" s="6" t="s">
        <v>757</v>
      </c>
      <c r="D8" s="6" t="s">
        <v>758</v>
      </c>
      <c r="E8" s="6" t="s">
        <v>686</v>
      </c>
      <c r="F8" s="6" t="s">
        <v>759</v>
      </c>
      <c r="G8" s="6" t="s">
        <v>760</v>
      </c>
      <c r="H8" s="6" t="s">
        <v>761</v>
      </c>
      <c r="I8" s="7" t="s">
        <v>762</v>
      </c>
    </row>
    <row r="9" ht="56" customHeight="1" spans="1:9" x14ac:dyDescent="0.25">
      <c r="A9" s="5" t="s">
        <v>461</v>
      </c>
      <c r="B9" s="5" t="s">
        <v>460</v>
      </c>
      <c r="C9" s="5" t="s">
        <v>710</v>
      </c>
      <c r="D9" s="5" t="s">
        <v>284</v>
      </c>
      <c r="E9" s="5" t="s">
        <v>763</v>
      </c>
      <c r="F9" s="5" t="s">
        <v>764</v>
      </c>
      <c r="G9" s="5" t="s">
        <v>765</v>
      </c>
      <c r="H9" s="5" t="s">
        <v>766</v>
      </c>
      <c r="I9" s="7" t="s">
        <v>767</v>
      </c>
    </row>
    <row r="10" ht="43" customHeight="1" spans="1:9" x14ac:dyDescent="0.25">
      <c r="A10" s="6" t="s">
        <v>487</v>
      </c>
      <c r="B10" s="6" t="s">
        <v>460</v>
      </c>
      <c r="C10" s="6" t="s">
        <v>710</v>
      </c>
      <c r="D10" s="6" t="s">
        <v>284</v>
      </c>
      <c r="E10" s="6" t="s">
        <v>763</v>
      </c>
      <c r="F10" s="6" t="s">
        <v>768</v>
      </c>
      <c r="G10" s="6" t="s">
        <v>769</v>
      </c>
      <c r="H10" s="6" t="s">
        <v>770</v>
      </c>
      <c r="I10" s="7" t="s">
        <v>771</v>
      </c>
    </row>
    <row r="12" spans="1:9" x14ac:dyDescent="0.25">
      <c r="A12" s="3" t="s">
        <v>772</v>
      </c>
      <c r="B12" s="3"/>
      <c r="C12" s="3"/>
      <c r="D12" s="3"/>
      <c r="E12" s="3"/>
      <c r="F12" s="3"/>
      <c r="G12" s="3"/>
      <c r="H12" s="3"/>
      <c r="I12" s="3"/>
    </row>
    <row r="13" ht="30" customHeight="1" spans="1:9" x14ac:dyDescent="0.25">
      <c r="A13" s="10" t="s">
        <v>773</v>
      </c>
      <c r="B13" s="10" t="s">
        <v>230</v>
      </c>
      <c r="C13" s="10" t="s">
        <v>774</v>
      </c>
      <c r="D13" s="10" t="s">
        <v>775</v>
      </c>
      <c r="E13" s="10" t="s">
        <v>776</v>
      </c>
      <c r="F13" s="10" t="s">
        <v>777</v>
      </c>
      <c r="G13" s="10" t="s">
        <v>230</v>
      </c>
      <c r="H13" s="10" t="s">
        <v>230</v>
      </c>
      <c r="I13" s="10" t="s">
        <v>230</v>
      </c>
    </row>
    <row r="14" ht="32" customHeight="1" spans="1:9" x14ac:dyDescent="0.25">
      <c r="A14" s="11" t="s">
        <v>778</v>
      </c>
      <c r="B14" s="11"/>
      <c r="C14" s="11" t="s">
        <v>779</v>
      </c>
      <c r="D14" s="11" t="s">
        <v>780</v>
      </c>
      <c r="E14" s="11" t="s">
        <v>781</v>
      </c>
      <c r="F14" s="11" t="s">
        <v>782</v>
      </c>
      <c r="G14" s="11"/>
      <c r="H14" s="11"/>
      <c r="I14" s="11"/>
    </row>
    <row r="15" ht="32" customHeight="1" spans="1:9" x14ac:dyDescent="0.25">
      <c r="A15" s="4" t="s">
        <v>783</v>
      </c>
      <c r="B15" s="4"/>
      <c r="C15" s="4" t="s">
        <v>784</v>
      </c>
      <c r="D15" s="4" t="s">
        <v>785</v>
      </c>
      <c r="E15" s="4" t="s">
        <v>284</v>
      </c>
      <c r="F15" s="4" t="s">
        <v>786</v>
      </c>
      <c r="G15" s="4"/>
      <c r="H15" s="4"/>
      <c r="I15" s="4"/>
    </row>
    <row r="16" ht="32" customHeight="1" spans="1:9" x14ac:dyDescent="0.25">
      <c r="A16" s="11" t="s">
        <v>787</v>
      </c>
      <c r="B16" s="11"/>
      <c r="C16" s="11" t="s">
        <v>788</v>
      </c>
      <c r="D16" s="11" t="s">
        <v>789</v>
      </c>
      <c r="E16" s="11" t="s">
        <v>790</v>
      </c>
      <c r="F16" s="11" t="s">
        <v>791</v>
      </c>
      <c r="G16" s="11"/>
      <c r="H16" s="11"/>
      <c r="I16" s="11"/>
    </row>
    <row r="17" ht="32" customHeight="1" spans="1:9" x14ac:dyDescent="0.25">
      <c r="A17" s="4" t="s">
        <v>792</v>
      </c>
      <c r="B17" s="4"/>
      <c r="C17" s="4" t="s">
        <v>793</v>
      </c>
      <c r="D17" s="4" t="s">
        <v>794</v>
      </c>
      <c r="E17" s="4" t="s">
        <v>795</v>
      </c>
      <c r="F17" s="4" t="s">
        <v>796</v>
      </c>
      <c r="G17" s="4"/>
      <c r="H17" s="4"/>
      <c r="I17" s="4"/>
    </row>
    <row r="18" ht="32" customHeight="1" spans="1:9" x14ac:dyDescent="0.25">
      <c r="A18" s="11" t="s">
        <v>797</v>
      </c>
      <c r="B18" s="11"/>
      <c r="C18" s="11" t="s">
        <v>798</v>
      </c>
      <c r="D18" s="11" t="s">
        <v>799</v>
      </c>
      <c r="E18" s="11" t="s">
        <v>800</v>
      </c>
      <c r="F18" s="11" t="s">
        <v>801</v>
      </c>
      <c r="G18" s="11"/>
      <c r="H18" s="11"/>
      <c r="I18" s="11"/>
    </row>
    <row r="19" ht="32" customHeight="1" spans="1:9" x14ac:dyDescent="0.25">
      <c r="A19" s="4" t="s">
        <v>802</v>
      </c>
      <c r="B19" s="4"/>
      <c r="C19" s="4" t="s">
        <v>803</v>
      </c>
      <c r="D19" s="4" t="s">
        <v>804</v>
      </c>
      <c r="E19" s="4" t="s">
        <v>805</v>
      </c>
      <c r="F19" s="4" t="s">
        <v>806</v>
      </c>
      <c r="G19" s="4"/>
      <c r="H19" s="4"/>
      <c r="I19" s="4"/>
    </row>
    <row r="20" ht="32" customHeight="1" spans="1:9" x14ac:dyDescent="0.25">
      <c r="A20" s="11" t="s">
        <v>807</v>
      </c>
      <c r="B20" s="11"/>
      <c r="C20" s="11" t="s">
        <v>808</v>
      </c>
      <c r="D20" s="11" t="s">
        <v>809</v>
      </c>
      <c r="E20" s="11" t="s">
        <v>810</v>
      </c>
      <c r="F20" s="11" t="s">
        <v>811</v>
      </c>
      <c r="G20" s="11"/>
      <c r="H20" s="11"/>
      <c r="I20" s="11"/>
    </row>
    <row r="21" ht="32" customHeight="1" spans="1:9" x14ac:dyDescent="0.25">
      <c r="A21" s="4" t="s">
        <v>812</v>
      </c>
      <c r="B21" s="4"/>
      <c r="C21" s="4" t="s">
        <v>813</v>
      </c>
      <c r="D21" s="4" t="s">
        <v>814</v>
      </c>
      <c r="E21" s="4" t="s">
        <v>815</v>
      </c>
      <c r="F21" s="4" t="s">
        <v>816</v>
      </c>
      <c r="G21" s="4"/>
      <c r="H21" s="4"/>
      <c r="I21" s="4"/>
    </row>
    <row r="23" ht="30" customHeight="1" spans="1:9" x14ac:dyDescent="0.25">
      <c r="A23" s="2" t="s">
        <v>817</v>
      </c>
      <c r="B23" s="2"/>
      <c r="C23" s="2"/>
      <c r="D23" s="2"/>
      <c r="E23" s="2"/>
      <c r="F23" s="2"/>
      <c r="G23" s="2"/>
      <c r="H23" s="2"/>
      <c r="I23" s="2"/>
    </row>
  </sheetData>
  <mergeCells count="20">
    <mergeCell ref="A1:I1"/>
    <mergeCell ref="A2:I2"/>
    <mergeCell ref="A12:I12"/>
    <mergeCell ref="A14:B14"/>
    <mergeCell ref="F14:I14"/>
    <mergeCell ref="A15:B15"/>
    <mergeCell ref="F15:I15"/>
    <mergeCell ref="A16:B16"/>
    <mergeCell ref="F16:I16"/>
    <mergeCell ref="A17:B17"/>
    <mergeCell ref="F17:I17"/>
    <mergeCell ref="A18:B18"/>
    <mergeCell ref="F18:I18"/>
    <mergeCell ref="A19:B19"/>
    <mergeCell ref="F19:I19"/>
    <mergeCell ref="A20:B20"/>
    <mergeCell ref="F20:I20"/>
    <mergeCell ref="A21:B21"/>
    <mergeCell ref="F21:I21"/>
    <mergeCell ref="A23:I2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workbookViewId="0" showGridLines="0"/>
  </sheetViews>
  <sheetFormatPr defaultRowHeight="15" outlineLevelRow="0" outlineLevelCol="0" x14ac:dyDescent="55"/>
  <cols>
    <col min="1" max="1" width="24" customWidth="1"/>
    <col min="2" max="2" width="42" customWidth="1"/>
    <col min="3" max="3" width="40" customWidth="1"/>
    <col min="4" max="4" width="44" customWidth="1"/>
  </cols>
  <sheetData>
    <row r="1" spans="1:4" x14ac:dyDescent="0.25">
      <c r="A1" s="1" t="s">
        <v>818</v>
      </c>
      <c r="B1" s="1"/>
      <c r="C1" s="1"/>
      <c r="D1" s="1"/>
    </row>
    <row r="2" ht="30" customHeight="1" spans="1:4" x14ac:dyDescent="0.25">
      <c r="A2" s="2" t="s">
        <v>819</v>
      </c>
      <c r="B2" s="2"/>
      <c r="C2" s="2"/>
      <c r="D2" s="2"/>
    </row>
    <row r="4" spans="1:4" x14ac:dyDescent="0.25">
      <c r="A4" s="3" t="s">
        <v>820</v>
      </c>
      <c r="B4" s="3"/>
      <c r="C4" s="3"/>
      <c r="D4" s="3"/>
    </row>
    <row r="5" ht="30" customHeight="1" spans="1:4" x14ac:dyDescent="0.25">
      <c r="A5" s="10" t="s">
        <v>821</v>
      </c>
      <c r="B5" s="10" t="s">
        <v>822</v>
      </c>
      <c r="C5" s="10" t="s">
        <v>823</v>
      </c>
      <c r="D5" s="10" t="s">
        <v>265</v>
      </c>
    </row>
    <row r="6" ht="43" customHeight="1" spans="1:4" x14ac:dyDescent="0.25">
      <c r="A6" s="5" t="s">
        <v>824</v>
      </c>
      <c r="B6" s="5" t="s">
        <v>825</v>
      </c>
      <c r="C6" s="5" t="s">
        <v>826</v>
      </c>
      <c r="D6" s="5" t="s">
        <v>827</v>
      </c>
    </row>
    <row r="7" ht="30" customHeight="1" spans="1:4" x14ac:dyDescent="0.25">
      <c r="A7" s="6" t="s">
        <v>828</v>
      </c>
      <c r="B7" s="6" t="s">
        <v>829</v>
      </c>
      <c r="C7" s="6" t="s">
        <v>830</v>
      </c>
      <c r="D7" s="6" t="s">
        <v>831</v>
      </c>
    </row>
    <row r="8" ht="30" customHeight="1" spans="1:4" x14ac:dyDescent="0.25">
      <c r="A8" s="5" t="s">
        <v>832</v>
      </c>
      <c r="B8" s="5" t="s">
        <v>833</v>
      </c>
      <c r="C8" s="5" t="s">
        <v>830</v>
      </c>
      <c r="D8" s="5" t="s">
        <v>834</v>
      </c>
    </row>
    <row r="9" ht="30" customHeight="1" spans="1:4" x14ac:dyDescent="0.25">
      <c r="A9" s="6" t="s">
        <v>835</v>
      </c>
      <c r="B9" s="6" t="s">
        <v>836</v>
      </c>
      <c r="C9" s="6" t="s">
        <v>826</v>
      </c>
      <c r="D9" s="6" t="s">
        <v>837</v>
      </c>
    </row>
    <row r="10" ht="43" customHeight="1" spans="1:4" x14ac:dyDescent="0.25">
      <c r="A10" s="5" t="s">
        <v>838</v>
      </c>
      <c r="B10" s="5" t="s">
        <v>839</v>
      </c>
      <c r="C10" s="5" t="s">
        <v>840</v>
      </c>
      <c r="D10" s="5" t="s">
        <v>841</v>
      </c>
    </row>
    <row r="11" ht="30" customHeight="1" spans="1:4" x14ac:dyDescent="0.25">
      <c r="A11" s="6" t="s">
        <v>842</v>
      </c>
      <c r="B11" s="6" t="s">
        <v>843</v>
      </c>
      <c r="C11" s="6" t="s">
        <v>844</v>
      </c>
      <c r="D11" s="6" t="s">
        <v>845</v>
      </c>
    </row>
    <row r="12" ht="30" customHeight="1" spans="1:4" x14ac:dyDescent="0.25">
      <c r="A12" s="5" t="s">
        <v>846</v>
      </c>
      <c r="B12" s="5" t="s">
        <v>847</v>
      </c>
      <c r="C12" s="5" t="s">
        <v>848</v>
      </c>
      <c r="D12" s="5" t="s">
        <v>849</v>
      </c>
    </row>
    <row r="14" spans="1:4" x14ac:dyDescent="0.25">
      <c r="A14" s="3" t="s">
        <v>850</v>
      </c>
      <c r="B14" s="3"/>
      <c r="C14" s="3"/>
      <c r="D14" s="3"/>
    </row>
    <row r="15" ht="30" customHeight="1" spans="1:4" x14ac:dyDescent="0.25">
      <c r="A15" s="5" t="s">
        <v>851</v>
      </c>
      <c r="B15" s="5" t="s">
        <v>852</v>
      </c>
      <c r="C15" s="5" t="s">
        <v>230</v>
      </c>
      <c r="D15" s="5" t="s">
        <v>230</v>
      </c>
    </row>
    <row r="16" ht="30" customHeight="1" spans="1:4" x14ac:dyDescent="0.25">
      <c r="A16" s="6" t="s">
        <v>853</v>
      </c>
      <c r="B16" s="6" t="s">
        <v>854</v>
      </c>
      <c r="C16" s="6" t="s">
        <v>230</v>
      </c>
      <c r="D16" s="6" t="s">
        <v>230</v>
      </c>
    </row>
    <row r="17" ht="43" customHeight="1" spans="1:4" x14ac:dyDescent="0.25">
      <c r="A17" s="5" t="s">
        <v>273</v>
      </c>
      <c r="B17" s="5" t="s">
        <v>855</v>
      </c>
      <c r="C17" s="5" t="s">
        <v>230</v>
      </c>
      <c r="D17" s="5" t="s">
        <v>230</v>
      </c>
    </row>
    <row r="18" ht="30" customHeight="1" spans="1:4" x14ac:dyDescent="0.25">
      <c r="A18" s="6" t="s">
        <v>856</v>
      </c>
      <c r="B18" s="6" t="s">
        <v>857</v>
      </c>
      <c r="C18" s="6" t="s">
        <v>230</v>
      </c>
      <c r="D18" s="6" t="s">
        <v>230</v>
      </c>
    </row>
    <row r="19" ht="43" customHeight="1" spans="1:4" x14ac:dyDescent="0.25">
      <c r="A19" s="5" t="s">
        <v>858</v>
      </c>
      <c r="B19" s="5" t="s">
        <v>859</v>
      </c>
      <c r="C19" s="5" t="s">
        <v>230</v>
      </c>
      <c r="D19" s="5" t="s">
        <v>230</v>
      </c>
    </row>
    <row r="21" spans="1:4" x14ac:dyDescent="0.25">
      <c r="A21" s="3" t="s">
        <v>860</v>
      </c>
      <c r="B21" s="3"/>
      <c r="C21" s="3"/>
      <c r="D21" s="3"/>
    </row>
    <row r="22" ht="30" customHeight="1" spans="1:4" x14ac:dyDescent="0.25">
      <c r="A22" s="10" t="s">
        <v>861</v>
      </c>
      <c r="B22" s="10" t="s">
        <v>651</v>
      </c>
      <c r="C22" s="10" t="s">
        <v>862</v>
      </c>
      <c r="D22" s="10" t="s">
        <v>863</v>
      </c>
    </row>
    <row r="23" ht="30" customHeight="1" spans="1:4" x14ac:dyDescent="0.25">
      <c r="A23" s="5" t="s">
        <v>864</v>
      </c>
      <c r="B23" s="5" t="s">
        <v>245</v>
      </c>
      <c r="C23" s="5" t="s">
        <v>865</v>
      </c>
      <c r="D23" s="5" t="s">
        <v>866</v>
      </c>
    </row>
    <row r="24" ht="30" customHeight="1" spans="1:4" x14ac:dyDescent="0.25">
      <c r="A24" s="6" t="s">
        <v>867</v>
      </c>
      <c r="B24" s="6" t="s">
        <v>241</v>
      </c>
      <c r="C24" s="6" t="s">
        <v>868</v>
      </c>
      <c r="D24" s="6" t="s">
        <v>869</v>
      </c>
    </row>
    <row r="25" ht="30" customHeight="1" spans="1:4" x14ac:dyDescent="0.25">
      <c r="A25" s="5" t="s">
        <v>870</v>
      </c>
      <c r="B25" s="5" t="s">
        <v>245</v>
      </c>
      <c r="C25" s="5" t="s">
        <v>871</v>
      </c>
      <c r="D25" s="5" t="s">
        <v>872</v>
      </c>
    </row>
    <row r="26" ht="30" customHeight="1" spans="1:4" x14ac:dyDescent="0.25">
      <c r="A26" s="6" t="s">
        <v>873</v>
      </c>
      <c r="B26" s="6" t="s">
        <v>237</v>
      </c>
      <c r="C26" s="6" t="s">
        <v>874</v>
      </c>
      <c r="D26" s="6" t="s">
        <v>875</v>
      </c>
    </row>
    <row r="27" ht="30" customHeight="1" spans="1:4" x14ac:dyDescent="0.25">
      <c r="A27" s="5" t="s">
        <v>876</v>
      </c>
      <c r="B27" s="5" t="s">
        <v>877</v>
      </c>
      <c r="C27" s="5" t="s">
        <v>874</v>
      </c>
      <c r="D27" s="5" t="s">
        <v>878</v>
      </c>
    </row>
    <row r="29" spans="1:4" x14ac:dyDescent="0.25">
      <c r="A29" s="3" t="s">
        <v>879</v>
      </c>
      <c r="B29" s="3"/>
      <c r="C29" s="3"/>
      <c r="D29" s="3"/>
    </row>
    <row r="30" ht="30" customHeight="1" spans="1:4" x14ac:dyDescent="0.25">
      <c r="A30" s="10" t="s">
        <v>880</v>
      </c>
      <c r="B30" s="10" t="s">
        <v>676</v>
      </c>
      <c r="C30" s="10" t="s">
        <v>881</v>
      </c>
      <c r="D30" s="10" t="s">
        <v>882</v>
      </c>
    </row>
    <row r="31" ht="43" customHeight="1" spans="1:4" x14ac:dyDescent="0.25">
      <c r="A31" s="5" t="s">
        <v>883</v>
      </c>
      <c r="B31" s="5" t="s">
        <v>884</v>
      </c>
      <c r="C31" s="5" t="s">
        <v>885</v>
      </c>
      <c r="D31" s="5" t="s">
        <v>886</v>
      </c>
    </row>
    <row r="32" ht="30" customHeight="1" spans="1:4" x14ac:dyDescent="0.25">
      <c r="A32" s="6" t="s">
        <v>887</v>
      </c>
      <c r="B32" s="6" t="s">
        <v>888</v>
      </c>
      <c r="C32" s="6" t="s">
        <v>889</v>
      </c>
      <c r="D32" s="6" t="s">
        <v>890</v>
      </c>
    </row>
    <row r="33" ht="30" customHeight="1" spans="1:4" x14ac:dyDescent="0.25">
      <c r="A33" s="5" t="s">
        <v>891</v>
      </c>
      <c r="B33" s="5" t="s">
        <v>892</v>
      </c>
      <c r="C33" s="5" t="s">
        <v>893</v>
      </c>
      <c r="D33" s="5" t="s">
        <v>284</v>
      </c>
    </row>
    <row r="34" ht="30" customHeight="1" spans="1:4" x14ac:dyDescent="0.25">
      <c r="A34" s="6" t="s">
        <v>894</v>
      </c>
      <c r="B34" s="6" t="s">
        <v>895</v>
      </c>
      <c r="C34" s="6" t="s">
        <v>896</v>
      </c>
      <c r="D34" s="6" t="s">
        <v>897</v>
      </c>
    </row>
    <row r="36" spans="1:4" x14ac:dyDescent="0.25">
      <c r="A36" s="3" t="s">
        <v>898</v>
      </c>
      <c r="B36" s="3"/>
      <c r="C36" s="3"/>
      <c r="D36" s="3"/>
    </row>
    <row r="37" ht="43" customHeight="1" spans="1:4" x14ac:dyDescent="0.25">
      <c r="A37" s="5" t="s">
        <v>383</v>
      </c>
      <c r="B37" s="5" t="s">
        <v>899</v>
      </c>
      <c r="C37" s="5" t="s">
        <v>900</v>
      </c>
      <c r="D37" s="5" t="s">
        <v>901</v>
      </c>
    </row>
    <row r="38" ht="30" customHeight="1" spans="1:4" x14ac:dyDescent="0.25">
      <c r="A38" s="6" t="s">
        <v>355</v>
      </c>
      <c r="B38" s="6" t="s">
        <v>902</v>
      </c>
      <c r="C38" s="6" t="s">
        <v>903</v>
      </c>
      <c r="D38" s="6" t="s">
        <v>901</v>
      </c>
    </row>
    <row r="39" ht="30" customHeight="1" spans="1:4" x14ac:dyDescent="0.25">
      <c r="A39" s="5" t="s">
        <v>410</v>
      </c>
      <c r="B39" s="5" t="s">
        <v>904</v>
      </c>
      <c r="C39" s="5" t="s">
        <v>905</v>
      </c>
      <c r="D39" s="5" t="s">
        <v>901</v>
      </c>
    </row>
    <row r="40" ht="30" customHeight="1" spans="1:4" x14ac:dyDescent="0.25">
      <c r="A40" s="6" t="s">
        <v>436</v>
      </c>
      <c r="B40" s="6" t="s">
        <v>906</v>
      </c>
      <c r="C40" s="6" t="s">
        <v>907</v>
      </c>
      <c r="D40" s="6" t="s">
        <v>901</v>
      </c>
    </row>
    <row r="41" ht="30" customHeight="1" spans="1:4" x14ac:dyDescent="0.25">
      <c r="A41" s="5" t="s">
        <v>461</v>
      </c>
      <c r="B41" s="5" t="s">
        <v>908</v>
      </c>
      <c r="C41" s="5" t="s">
        <v>909</v>
      </c>
      <c r="D41" s="5" t="s">
        <v>910</v>
      </c>
    </row>
    <row r="42" ht="17" customHeight="1" spans="1:4" x14ac:dyDescent="0.25">
      <c r="A42" s="6" t="s">
        <v>487</v>
      </c>
      <c r="B42" s="6" t="s">
        <v>911</v>
      </c>
      <c r="C42" s="6" t="s">
        <v>912</v>
      </c>
      <c r="D42" s="6" t="s">
        <v>910</v>
      </c>
    </row>
  </sheetData>
  <mergeCells count="7">
    <mergeCell ref="A1:D1"/>
    <mergeCell ref="A2:D2"/>
    <mergeCell ref="A4:D4"/>
    <mergeCell ref="A14:D14"/>
    <mergeCell ref="A21:D21"/>
    <mergeCell ref="A29:D29"/>
    <mergeCell ref="A36:D36"/>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showGridLines="0"/>
  </sheetViews>
  <sheetFormatPr defaultRowHeight="15" outlineLevelRow="0" outlineLevelCol="0" x14ac:dyDescent="55"/>
  <cols>
    <col min="1" max="1" width="24" customWidth="1"/>
    <col min="2" max="3" width="58" customWidth="1"/>
  </cols>
  <sheetData>
    <row r="1" spans="1:3" x14ac:dyDescent="0.25">
      <c r="A1" s="1" t="s">
        <v>913</v>
      </c>
      <c r="B1" s="1"/>
      <c r="C1" s="1"/>
    </row>
    <row r="2" ht="30" customHeight="1" spans="1:3" x14ac:dyDescent="0.25">
      <c r="A2" s="2" t="s">
        <v>914</v>
      </c>
      <c r="B2" s="2"/>
      <c r="C2" s="2"/>
    </row>
    <row r="4" ht="30" customHeight="1" spans="1:3" x14ac:dyDescent="0.25">
      <c r="A4" s="10" t="s">
        <v>263</v>
      </c>
      <c r="B4" s="10" t="s">
        <v>915</v>
      </c>
      <c r="C4" s="10" t="s">
        <v>916</v>
      </c>
    </row>
    <row r="5" ht="43" customHeight="1" spans="1:3" x14ac:dyDescent="0.25">
      <c r="A5" s="5" t="s">
        <v>917</v>
      </c>
      <c r="B5" s="5" t="s">
        <v>918</v>
      </c>
      <c r="C5" s="5" t="s">
        <v>919</v>
      </c>
    </row>
    <row r="6" ht="56" customHeight="1" spans="1:3" x14ac:dyDescent="0.25">
      <c r="A6" s="6" t="s">
        <v>920</v>
      </c>
      <c r="B6" s="6" t="s">
        <v>921</v>
      </c>
      <c r="C6" s="6" t="s">
        <v>922</v>
      </c>
    </row>
    <row r="7" ht="43" customHeight="1" spans="1:3" x14ac:dyDescent="0.25">
      <c r="A7" s="5" t="s">
        <v>923</v>
      </c>
      <c r="B7" s="5" t="s">
        <v>924</v>
      </c>
      <c r="C7" s="5" t="s">
        <v>925</v>
      </c>
    </row>
    <row r="8" ht="43" customHeight="1" spans="1:3" x14ac:dyDescent="0.25">
      <c r="A8" s="6" t="s">
        <v>926</v>
      </c>
      <c r="B8" s="6" t="s">
        <v>927</v>
      </c>
      <c r="C8" s="6" t="s">
        <v>928</v>
      </c>
    </row>
    <row r="9" ht="43" customHeight="1" spans="1:3" x14ac:dyDescent="0.25">
      <c r="A9" s="5" t="s">
        <v>929</v>
      </c>
      <c r="B9" s="5" t="s">
        <v>930</v>
      </c>
      <c r="C9" s="5" t="s">
        <v>931</v>
      </c>
    </row>
    <row r="10" ht="30" customHeight="1" spans="1:3" x14ac:dyDescent="0.25">
      <c r="A10" s="6" t="s">
        <v>932</v>
      </c>
      <c r="B10" s="6" t="s">
        <v>933</v>
      </c>
      <c r="C10" s="6" t="s">
        <v>934</v>
      </c>
    </row>
    <row r="11" ht="56" customHeight="1" spans="1:3" x14ac:dyDescent="0.25">
      <c r="A11" s="5" t="s">
        <v>935</v>
      </c>
      <c r="B11" s="5" t="s">
        <v>936</v>
      </c>
      <c r="C11" s="5" t="s">
        <v>937</v>
      </c>
    </row>
    <row r="12" ht="43" customHeight="1" spans="1:3" x14ac:dyDescent="0.25">
      <c r="A12" s="6" t="s">
        <v>938</v>
      </c>
      <c r="B12" s="6" t="s">
        <v>939</v>
      </c>
      <c r="C12" s="6" t="s">
        <v>940</v>
      </c>
    </row>
    <row r="13" ht="43" customHeight="1" spans="1:3" x14ac:dyDescent="0.25">
      <c r="A13" s="5" t="s">
        <v>941</v>
      </c>
      <c r="B13" s="5" t="s">
        <v>942</v>
      </c>
      <c r="C13" s="5" t="s">
        <v>943</v>
      </c>
    </row>
    <row r="14" ht="30" customHeight="1" spans="1:3" x14ac:dyDescent="0.25">
      <c r="A14" s="6" t="s">
        <v>944</v>
      </c>
      <c r="B14" s="6" t="s">
        <v>945</v>
      </c>
      <c r="C14" s="6" t="s">
        <v>946</v>
      </c>
    </row>
    <row r="15" ht="17" customHeight="1" spans="1:3" x14ac:dyDescent="0.25">
      <c r="A15" s="5" t="s">
        <v>947</v>
      </c>
      <c r="B15" s="5" t="s">
        <v>948</v>
      </c>
      <c r="C15" s="5" t="s">
        <v>949</v>
      </c>
    </row>
    <row r="16" ht="56" customHeight="1" spans="1:3" x14ac:dyDescent="0.25">
      <c r="A16" s="6" t="s">
        <v>950</v>
      </c>
      <c r="B16" s="6" t="s">
        <v>951</v>
      </c>
      <c r="C16" s="6" t="s">
        <v>952</v>
      </c>
    </row>
    <row r="17" ht="43" customHeight="1" spans="1:3" x14ac:dyDescent="0.25">
      <c r="A17" s="5" t="s">
        <v>953</v>
      </c>
      <c r="B17" s="5" t="s">
        <v>954</v>
      </c>
      <c r="C17" s="5" t="s">
        <v>955</v>
      </c>
    </row>
    <row r="18" ht="56" customHeight="1" spans="1:3" x14ac:dyDescent="0.25">
      <c r="A18" s="6" t="s">
        <v>956</v>
      </c>
      <c r="B18" s="6" t="s">
        <v>957</v>
      </c>
      <c r="C18" s="6" t="s">
        <v>958</v>
      </c>
    </row>
  </sheetData>
  <mergeCells count="2">
    <mergeCell ref="A1:C1"/>
    <mergeCell ref="A2:C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Me</vt:lpstr>
      <vt:lpstr>Competitive Analysis</vt:lpstr>
      <vt:lpstr>Changes v2 to v3</vt:lpstr>
      <vt:lpstr>Questions v3</vt:lpstr>
      <vt:lpstr>Context Questions</vt:lpstr>
      <vt:lpstr>Scoring Model</vt:lpstr>
      <vt:lpstr>Result Profiles</vt:lpstr>
      <vt:lpstr>Service Routing</vt:lpstr>
      <vt:lpstr>Lead Capture &amp; Scoring</vt:lpstr>
      <vt:lpstr>Launch &amp; Traffic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xLoop Marketing</dc:creator>
  <dc:title/>
  <dc:subject/>
  <dc:description/>
  <cp:keywords/>
  <cp:category/>
  <cp:lastModifiedBy>Unknown</cp:lastModifiedBy>
  <dcterms:created xsi:type="dcterms:W3CDTF">2026-10-02T05:59:05Z</dcterms:created>
  <dcterms:modified xsi:type="dcterms:W3CDTF">2026-10-02T05:59:05Z</dcterms:modified>
</cp:coreProperties>
</file>